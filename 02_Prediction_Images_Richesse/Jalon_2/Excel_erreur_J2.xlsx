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versclemence/Desktop/MA2 Centrale/Projet transversal/Code prédiction S066/Session 2/"/>
    </mc:Choice>
  </mc:AlternateContent>
  <xr:revisionPtr revIDLastSave="0" documentId="13_ncr:1_{6EB49A49-0B6F-9A40-AF4D-F861EC5D6462}" xr6:coauthVersionLast="47" xr6:coauthVersionMax="47" xr10:uidLastSave="{00000000-0000-0000-0000-000000000000}"/>
  <bookViews>
    <workbookView xWindow="0" yWindow="600" windowWidth="28800" windowHeight="16100" xr2:uid="{52A8FC2A-A06D-474D-9C99-488491721595}"/>
  </bookViews>
  <sheets>
    <sheet name="Introduction" sheetId="6" r:id="rId1"/>
    <sheet name="0 10 20" sheetId="1" r:id="rId2"/>
    <sheet name="0_5_10_15_20" sheetId="3" r:id="rId3"/>
    <sheet name="ALL" sheetId="4" r:id="rId4"/>
  </sheets>
  <definedNames>
    <definedName name="_xlnm._FilterDatabase" localSheetId="2" hidden="1">'0_5_10_15_20'!$J$1:$K$101</definedName>
    <definedName name="_xlnm._FilterDatabase" localSheetId="3" hidden="1">ALL!$G$1:$O$151</definedName>
  </definedNames>
  <calcPr calcId="191029"/>
  <pivotCaches>
    <pivotCache cacheId="8" r:id="rId5"/>
    <pivotCache cacheId="9" r:id="rId6"/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" l="1"/>
  <c r="O2" i="4"/>
  <c r="R157" i="4"/>
  <c r="I102" i="4"/>
  <c r="J102" i="4" s="1"/>
  <c r="K102" i="4" s="1"/>
  <c r="I103" i="4"/>
  <c r="J103" i="4" s="1"/>
  <c r="K103" i="4" s="1"/>
  <c r="I104" i="4"/>
  <c r="J104" i="4" s="1"/>
  <c r="K104" i="4" s="1"/>
  <c r="I105" i="4"/>
  <c r="J105" i="4" s="1"/>
  <c r="K105" i="4" s="1"/>
  <c r="I106" i="4"/>
  <c r="J106" i="4" s="1"/>
  <c r="K106" i="4" s="1"/>
  <c r="I107" i="4"/>
  <c r="J107" i="4" s="1"/>
  <c r="K107" i="4" s="1"/>
  <c r="I108" i="4"/>
  <c r="J108" i="4" s="1"/>
  <c r="K108" i="4" s="1"/>
  <c r="I109" i="4"/>
  <c r="J109" i="4" s="1"/>
  <c r="K109" i="4" s="1"/>
  <c r="I110" i="4"/>
  <c r="J110" i="4" s="1"/>
  <c r="K110" i="4" s="1"/>
  <c r="I111" i="4"/>
  <c r="J111" i="4" s="1"/>
  <c r="K111" i="4" s="1"/>
  <c r="I112" i="4"/>
  <c r="J112" i="4" s="1"/>
  <c r="K112" i="4" s="1"/>
  <c r="I113" i="4"/>
  <c r="J113" i="4" s="1"/>
  <c r="K113" i="4" s="1"/>
  <c r="I114" i="4"/>
  <c r="J114" i="4" s="1"/>
  <c r="K114" i="4" s="1"/>
  <c r="I115" i="4"/>
  <c r="J115" i="4" s="1"/>
  <c r="K115" i="4" s="1"/>
  <c r="I116" i="4"/>
  <c r="J116" i="4" s="1"/>
  <c r="K116" i="4" s="1"/>
  <c r="I117" i="4"/>
  <c r="J117" i="4" s="1"/>
  <c r="K117" i="4" s="1"/>
  <c r="I118" i="4"/>
  <c r="J118" i="4" s="1"/>
  <c r="K118" i="4" s="1"/>
  <c r="I119" i="4"/>
  <c r="J119" i="4" s="1"/>
  <c r="K119" i="4" s="1"/>
  <c r="I120" i="4"/>
  <c r="J120" i="4" s="1"/>
  <c r="K120" i="4" s="1"/>
  <c r="I121" i="4"/>
  <c r="J121" i="4" s="1"/>
  <c r="K121" i="4" s="1"/>
  <c r="I122" i="4"/>
  <c r="J122" i="4" s="1"/>
  <c r="K122" i="4" s="1"/>
  <c r="I123" i="4"/>
  <c r="J123" i="4" s="1"/>
  <c r="K123" i="4" s="1"/>
  <c r="I124" i="4"/>
  <c r="J124" i="4" s="1"/>
  <c r="K124" i="4" s="1"/>
  <c r="I125" i="4"/>
  <c r="J125" i="4" s="1"/>
  <c r="K125" i="4" s="1"/>
  <c r="I126" i="4"/>
  <c r="J126" i="4" s="1"/>
  <c r="K126" i="4" s="1"/>
  <c r="I127" i="4"/>
  <c r="J127" i="4" s="1"/>
  <c r="K127" i="4" s="1"/>
  <c r="I128" i="4"/>
  <c r="J128" i="4" s="1"/>
  <c r="K128" i="4" s="1"/>
  <c r="I129" i="4"/>
  <c r="J129" i="4" s="1"/>
  <c r="K129" i="4" s="1"/>
  <c r="I130" i="4"/>
  <c r="J130" i="4" s="1"/>
  <c r="K130" i="4" s="1"/>
  <c r="I131" i="4"/>
  <c r="J131" i="4" s="1"/>
  <c r="K131" i="4" s="1"/>
  <c r="I132" i="4"/>
  <c r="J132" i="4" s="1"/>
  <c r="K132" i="4" s="1"/>
  <c r="I133" i="4"/>
  <c r="J133" i="4"/>
  <c r="K133" i="4" s="1"/>
  <c r="I134" i="4"/>
  <c r="J134" i="4" s="1"/>
  <c r="K134" i="4" s="1"/>
  <c r="I135" i="4"/>
  <c r="J135" i="4" s="1"/>
  <c r="K135" i="4" s="1"/>
  <c r="I136" i="4"/>
  <c r="J136" i="4" s="1"/>
  <c r="K136" i="4" s="1"/>
  <c r="I137" i="4"/>
  <c r="J137" i="4" s="1"/>
  <c r="K137" i="4" s="1"/>
  <c r="I138" i="4"/>
  <c r="J138" i="4" s="1"/>
  <c r="K138" i="4" s="1"/>
  <c r="I139" i="4"/>
  <c r="J139" i="4" s="1"/>
  <c r="K139" i="4" s="1"/>
  <c r="I140" i="4"/>
  <c r="J140" i="4" s="1"/>
  <c r="K140" i="4" s="1"/>
  <c r="I141" i="4"/>
  <c r="J141" i="4" s="1"/>
  <c r="K141" i="4" s="1"/>
  <c r="I142" i="4"/>
  <c r="J142" i="4" s="1"/>
  <c r="K142" i="4" s="1"/>
  <c r="I143" i="4"/>
  <c r="J143" i="4" s="1"/>
  <c r="K143" i="4" s="1"/>
  <c r="I144" i="4"/>
  <c r="J144" i="4" s="1"/>
  <c r="K144" i="4" s="1"/>
  <c r="I145" i="4"/>
  <c r="J145" i="4" s="1"/>
  <c r="K145" i="4" s="1"/>
  <c r="I146" i="4"/>
  <c r="J146" i="4" s="1"/>
  <c r="K146" i="4" s="1"/>
  <c r="I147" i="4"/>
  <c r="J147" i="4" s="1"/>
  <c r="K147" i="4" s="1"/>
  <c r="I148" i="4"/>
  <c r="J148" i="4" s="1"/>
  <c r="K148" i="4" s="1"/>
  <c r="I149" i="4"/>
  <c r="J149" i="4" s="1"/>
  <c r="K149" i="4" s="1"/>
  <c r="I150" i="4"/>
  <c r="J150" i="4" s="1"/>
  <c r="K150" i="4" s="1"/>
  <c r="I151" i="4"/>
  <c r="J151" i="4" s="1"/>
  <c r="K151" i="4" s="1"/>
  <c r="I101" i="4"/>
  <c r="J101" i="4" s="1"/>
  <c r="K101" i="4" s="1"/>
  <c r="I100" i="4"/>
  <c r="J100" i="4" s="1"/>
  <c r="K100" i="4" s="1"/>
  <c r="I99" i="4"/>
  <c r="J99" i="4" s="1"/>
  <c r="K99" i="4" s="1"/>
  <c r="I98" i="4"/>
  <c r="J98" i="4" s="1"/>
  <c r="K98" i="4" s="1"/>
  <c r="I97" i="4"/>
  <c r="J97" i="4" s="1"/>
  <c r="K97" i="4" s="1"/>
  <c r="I96" i="4"/>
  <c r="J96" i="4" s="1"/>
  <c r="K96" i="4" s="1"/>
  <c r="I95" i="4"/>
  <c r="J95" i="4" s="1"/>
  <c r="K95" i="4" s="1"/>
  <c r="I94" i="4"/>
  <c r="J94" i="4" s="1"/>
  <c r="K94" i="4" s="1"/>
  <c r="I93" i="4"/>
  <c r="J93" i="4" s="1"/>
  <c r="K93" i="4" s="1"/>
  <c r="I92" i="4"/>
  <c r="J92" i="4" s="1"/>
  <c r="K92" i="4" s="1"/>
  <c r="I91" i="4"/>
  <c r="J91" i="4" s="1"/>
  <c r="K91" i="4" s="1"/>
  <c r="I90" i="4"/>
  <c r="J90" i="4" s="1"/>
  <c r="K90" i="4" s="1"/>
  <c r="I89" i="4"/>
  <c r="J89" i="4" s="1"/>
  <c r="K89" i="4" s="1"/>
  <c r="I88" i="4"/>
  <c r="J88" i="4" s="1"/>
  <c r="K88" i="4" s="1"/>
  <c r="I87" i="4"/>
  <c r="J87" i="4" s="1"/>
  <c r="K87" i="4" s="1"/>
  <c r="I86" i="4"/>
  <c r="J86" i="4" s="1"/>
  <c r="K86" i="4" s="1"/>
  <c r="I85" i="4"/>
  <c r="J85" i="4" s="1"/>
  <c r="K85" i="4" s="1"/>
  <c r="I84" i="4"/>
  <c r="J84" i="4" s="1"/>
  <c r="K84" i="4" s="1"/>
  <c r="I83" i="4"/>
  <c r="J83" i="4" s="1"/>
  <c r="K83" i="4" s="1"/>
  <c r="I82" i="4"/>
  <c r="J82" i="4" s="1"/>
  <c r="K82" i="4" s="1"/>
  <c r="I81" i="4"/>
  <c r="J81" i="4" s="1"/>
  <c r="K81" i="4" s="1"/>
  <c r="I80" i="4"/>
  <c r="J80" i="4" s="1"/>
  <c r="K80" i="4" s="1"/>
  <c r="I79" i="4"/>
  <c r="J79" i="4" s="1"/>
  <c r="K79" i="4" s="1"/>
  <c r="I78" i="4"/>
  <c r="J78" i="4" s="1"/>
  <c r="K78" i="4" s="1"/>
  <c r="I77" i="4"/>
  <c r="J77" i="4" s="1"/>
  <c r="K77" i="4" s="1"/>
  <c r="I76" i="4"/>
  <c r="J76" i="4" s="1"/>
  <c r="K76" i="4" s="1"/>
  <c r="I75" i="4"/>
  <c r="J75" i="4" s="1"/>
  <c r="K75" i="4" s="1"/>
  <c r="I74" i="4"/>
  <c r="J74" i="4" s="1"/>
  <c r="K74" i="4" s="1"/>
  <c r="I73" i="4"/>
  <c r="J73" i="4" s="1"/>
  <c r="K73" i="4" s="1"/>
  <c r="I72" i="4"/>
  <c r="J72" i="4" s="1"/>
  <c r="K72" i="4" s="1"/>
  <c r="I71" i="4"/>
  <c r="J71" i="4" s="1"/>
  <c r="K71" i="4" s="1"/>
  <c r="I70" i="4"/>
  <c r="J70" i="4" s="1"/>
  <c r="K70" i="4" s="1"/>
  <c r="I69" i="4"/>
  <c r="J69" i="4" s="1"/>
  <c r="K69" i="4" s="1"/>
  <c r="I68" i="4"/>
  <c r="J68" i="4" s="1"/>
  <c r="K68" i="4" s="1"/>
  <c r="I67" i="4"/>
  <c r="J67" i="4" s="1"/>
  <c r="K67" i="4" s="1"/>
  <c r="I66" i="4"/>
  <c r="J66" i="4" s="1"/>
  <c r="K66" i="4" s="1"/>
  <c r="I65" i="4"/>
  <c r="J65" i="4" s="1"/>
  <c r="K65" i="4" s="1"/>
  <c r="I64" i="4"/>
  <c r="J64" i="4" s="1"/>
  <c r="K64" i="4" s="1"/>
  <c r="I63" i="4"/>
  <c r="J63" i="4" s="1"/>
  <c r="K63" i="4" s="1"/>
  <c r="I62" i="4"/>
  <c r="J62" i="4" s="1"/>
  <c r="K62" i="4" s="1"/>
  <c r="I61" i="4"/>
  <c r="J61" i="4" s="1"/>
  <c r="K61" i="4" s="1"/>
  <c r="I60" i="4"/>
  <c r="J60" i="4" s="1"/>
  <c r="K60" i="4" s="1"/>
  <c r="I59" i="4"/>
  <c r="J59" i="4" s="1"/>
  <c r="K59" i="4" s="1"/>
  <c r="I58" i="4"/>
  <c r="J58" i="4" s="1"/>
  <c r="K58" i="4" s="1"/>
  <c r="I57" i="4"/>
  <c r="J57" i="4" s="1"/>
  <c r="K57" i="4" s="1"/>
  <c r="I56" i="4"/>
  <c r="J56" i="4" s="1"/>
  <c r="K56" i="4" s="1"/>
  <c r="I55" i="4"/>
  <c r="J55" i="4" s="1"/>
  <c r="K55" i="4" s="1"/>
  <c r="I54" i="4"/>
  <c r="J54" i="4" s="1"/>
  <c r="K54" i="4" s="1"/>
  <c r="I53" i="4"/>
  <c r="J53" i="4" s="1"/>
  <c r="K53" i="4" s="1"/>
  <c r="I52" i="4"/>
  <c r="J52" i="4" s="1"/>
  <c r="K52" i="4" s="1"/>
  <c r="I51" i="4"/>
  <c r="J51" i="4" s="1"/>
  <c r="K51" i="4" s="1"/>
  <c r="I50" i="4"/>
  <c r="J50" i="4" s="1"/>
  <c r="K50" i="4" s="1"/>
  <c r="I49" i="4"/>
  <c r="J49" i="4" s="1"/>
  <c r="K49" i="4" s="1"/>
  <c r="I48" i="4"/>
  <c r="J48" i="4" s="1"/>
  <c r="K48" i="4" s="1"/>
  <c r="I47" i="4"/>
  <c r="J47" i="4" s="1"/>
  <c r="K47" i="4" s="1"/>
  <c r="I46" i="4"/>
  <c r="J46" i="4" s="1"/>
  <c r="K46" i="4" s="1"/>
  <c r="I45" i="4"/>
  <c r="J45" i="4" s="1"/>
  <c r="K45" i="4" s="1"/>
  <c r="I44" i="4"/>
  <c r="J44" i="4" s="1"/>
  <c r="K44" i="4" s="1"/>
  <c r="I43" i="4"/>
  <c r="J43" i="4" s="1"/>
  <c r="K43" i="4" s="1"/>
  <c r="I42" i="4"/>
  <c r="J42" i="4" s="1"/>
  <c r="K42" i="4" s="1"/>
  <c r="I41" i="4"/>
  <c r="J41" i="4" s="1"/>
  <c r="K41" i="4" s="1"/>
  <c r="I40" i="4"/>
  <c r="J40" i="4" s="1"/>
  <c r="K40" i="4" s="1"/>
  <c r="I39" i="4"/>
  <c r="J39" i="4" s="1"/>
  <c r="K39" i="4" s="1"/>
  <c r="I38" i="4"/>
  <c r="J38" i="4" s="1"/>
  <c r="K38" i="4" s="1"/>
  <c r="I37" i="4"/>
  <c r="J37" i="4" s="1"/>
  <c r="K37" i="4" s="1"/>
  <c r="I36" i="4"/>
  <c r="J36" i="4" s="1"/>
  <c r="K36" i="4" s="1"/>
  <c r="I35" i="4"/>
  <c r="J35" i="4" s="1"/>
  <c r="K35" i="4" s="1"/>
  <c r="I34" i="4"/>
  <c r="J34" i="4" s="1"/>
  <c r="K34" i="4" s="1"/>
  <c r="I33" i="4"/>
  <c r="J33" i="4" s="1"/>
  <c r="K33" i="4" s="1"/>
  <c r="I32" i="4"/>
  <c r="J32" i="4" s="1"/>
  <c r="K32" i="4" s="1"/>
  <c r="I31" i="4"/>
  <c r="J31" i="4" s="1"/>
  <c r="K31" i="4" s="1"/>
  <c r="I30" i="4"/>
  <c r="J30" i="4" s="1"/>
  <c r="K30" i="4" s="1"/>
  <c r="I29" i="4"/>
  <c r="J29" i="4" s="1"/>
  <c r="K29" i="4" s="1"/>
  <c r="I28" i="4"/>
  <c r="J28" i="4" s="1"/>
  <c r="K28" i="4" s="1"/>
  <c r="I27" i="4"/>
  <c r="J27" i="4" s="1"/>
  <c r="K27" i="4" s="1"/>
  <c r="I26" i="4"/>
  <c r="J26" i="4" s="1"/>
  <c r="K26" i="4" s="1"/>
  <c r="I25" i="4"/>
  <c r="J25" i="4" s="1"/>
  <c r="K25" i="4" s="1"/>
  <c r="I24" i="4"/>
  <c r="J24" i="4" s="1"/>
  <c r="K24" i="4" s="1"/>
  <c r="I23" i="4"/>
  <c r="J23" i="4" s="1"/>
  <c r="K23" i="4" s="1"/>
  <c r="I22" i="4"/>
  <c r="J22" i="4" s="1"/>
  <c r="K22" i="4" s="1"/>
  <c r="I21" i="4"/>
  <c r="J21" i="4" s="1"/>
  <c r="K21" i="4" s="1"/>
  <c r="I20" i="4"/>
  <c r="J20" i="4" s="1"/>
  <c r="K20" i="4" s="1"/>
  <c r="I19" i="4"/>
  <c r="J19" i="4" s="1"/>
  <c r="K19" i="4" s="1"/>
  <c r="I18" i="4"/>
  <c r="J18" i="4" s="1"/>
  <c r="K18" i="4" s="1"/>
  <c r="I17" i="4"/>
  <c r="J17" i="4" s="1"/>
  <c r="K17" i="4" s="1"/>
  <c r="I16" i="4"/>
  <c r="J16" i="4" s="1"/>
  <c r="K16" i="4" s="1"/>
  <c r="I15" i="4"/>
  <c r="J15" i="4" s="1"/>
  <c r="K15" i="4" s="1"/>
  <c r="I14" i="4"/>
  <c r="J14" i="4" s="1"/>
  <c r="K14" i="4" s="1"/>
  <c r="I13" i="4"/>
  <c r="J13" i="4" s="1"/>
  <c r="K13" i="4" s="1"/>
  <c r="I12" i="4"/>
  <c r="J12" i="4" s="1"/>
  <c r="K12" i="4" s="1"/>
  <c r="I11" i="4"/>
  <c r="J11" i="4" s="1"/>
  <c r="K11" i="4" s="1"/>
  <c r="I10" i="4"/>
  <c r="J10" i="4" s="1"/>
  <c r="K10" i="4" s="1"/>
  <c r="I9" i="4"/>
  <c r="J9" i="4" s="1"/>
  <c r="K9" i="4" s="1"/>
  <c r="I8" i="4"/>
  <c r="J8" i="4" s="1"/>
  <c r="K8" i="4" s="1"/>
  <c r="I7" i="4"/>
  <c r="J7" i="4" s="1"/>
  <c r="K7" i="4" s="1"/>
  <c r="I6" i="4"/>
  <c r="J6" i="4" s="1"/>
  <c r="K6" i="4" s="1"/>
  <c r="I5" i="4"/>
  <c r="J5" i="4" s="1"/>
  <c r="K5" i="4" s="1"/>
  <c r="I4" i="4"/>
  <c r="J4" i="4" s="1"/>
  <c r="K4" i="4" s="1"/>
  <c r="I3" i="4"/>
  <c r="J3" i="4" s="1"/>
  <c r="K3" i="4" s="1"/>
  <c r="I2" i="4"/>
  <c r="J2" i="4" s="1"/>
  <c r="K2" i="4" s="1"/>
  <c r="I101" i="3"/>
  <c r="J101" i="3" s="1"/>
  <c r="K101" i="3" s="1"/>
  <c r="I100" i="3"/>
  <c r="J100" i="3" s="1"/>
  <c r="K100" i="3" s="1"/>
  <c r="I99" i="3"/>
  <c r="J99" i="3" s="1"/>
  <c r="K99" i="3" s="1"/>
  <c r="I98" i="3"/>
  <c r="J98" i="3" s="1"/>
  <c r="K98" i="3" s="1"/>
  <c r="I97" i="3"/>
  <c r="J97" i="3" s="1"/>
  <c r="K97" i="3" s="1"/>
  <c r="I96" i="3"/>
  <c r="J96" i="3" s="1"/>
  <c r="K96" i="3" s="1"/>
  <c r="I95" i="3"/>
  <c r="J95" i="3" s="1"/>
  <c r="K95" i="3" s="1"/>
  <c r="I94" i="3"/>
  <c r="J94" i="3" s="1"/>
  <c r="K94" i="3" s="1"/>
  <c r="I93" i="3"/>
  <c r="J93" i="3" s="1"/>
  <c r="K93" i="3" s="1"/>
  <c r="I92" i="3"/>
  <c r="J92" i="3" s="1"/>
  <c r="K92" i="3" s="1"/>
  <c r="I91" i="3"/>
  <c r="J91" i="3" s="1"/>
  <c r="K91" i="3" s="1"/>
  <c r="I90" i="3"/>
  <c r="J90" i="3" s="1"/>
  <c r="K90" i="3" s="1"/>
  <c r="I89" i="3"/>
  <c r="J89" i="3" s="1"/>
  <c r="K89" i="3" s="1"/>
  <c r="I88" i="3"/>
  <c r="J88" i="3" s="1"/>
  <c r="K88" i="3" s="1"/>
  <c r="I87" i="3"/>
  <c r="J87" i="3" s="1"/>
  <c r="K87" i="3" s="1"/>
  <c r="I86" i="3"/>
  <c r="J86" i="3" s="1"/>
  <c r="K86" i="3" s="1"/>
  <c r="I85" i="3"/>
  <c r="J85" i="3" s="1"/>
  <c r="K85" i="3" s="1"/>
  <c r="I84" i="3"/>
  <c r="J84" i="3" s="1"/>
  <c r="K84" i="3" s="1"/>
  <c r="I83" i="3"/>
  <c r="J83" i="3" s="1"/>
  <c r="K83" i="3" s="1"/>
  <c r="I82" i="3"/>
  <c r="J82" i="3" s="1"/>
  <c r="K82" i="3" s="1"/>
  <c r="I81" i="3"/>
  <c r="J81" i="3" s="1"/>
  <c r="K81" i="3" s="1"/>
  <c r="I80" i="3"/>
  <c r="J80" i="3" s="1"/>
  <c r="K80" i="3" s="1"/>
  <c r="I79" i="3"/>
  <c r="J79" i="3" s="1"/>
  <c r="K79" i="3" s="1"/>
  <c r="I78" i="3"/>
  <c r="J78" i="3" s="1"/>
  <c r="K78" i="3" s="1"/>
  <c r="I77" i="3"/>
  <c r="J77" i="3" s="1"/>
  <c r="K77" i="3" s="1"/>
  <c r="I76" i="3"/>
  <c r="J76" i="3" s="1"/>
  <c r="K76" i="3" s="1"/>
  <c r="I75" i="3"/>
  <c r="J75" i="3" s="1"/>
  <c r="K75" i="3" s="1"/>
  <c r="I74" i="3"/>
  <c r="J74" i="3" s="1"/>
  <c r="K74" i="3" s="1"/>
  <c r="I73" i="3"/>
  <c r="J73" i="3" s="1"/>
  <c r="K73" i="3" s="1"/>
  <c r="I72" i="3"/>
  <c r="J72" i="3" s="1"/>
  <c r="K72" i="3" s="1"/>
  <c r="I71" i="3"/>
  <c r="J71" i="3" s="1"/>
  <c r="K71" i="3" s="1"/>
  <c r="I70" i="3"/>
  <c r="J70" i="3" s="1"/>
  <c r="K70" i="3" s="1"/>
  <c r="I69" i="3"/>
  <c r="J69" i="3" s="1"/>
  <c r="K69" i="3" s="1"/>
  <c r="I68" i="3"/>
  <c r="J68" i="3" s="1"/>
  <c r="K68" i="3" s="1"/>
  <c r="I67" i="3"/>
  <c r="J67" i="3" s="1"/>
  <c r="K67" i="3" s="1"/>
  <c r="I66" i="3"/>
  <c r="J66" i="3" s="1"/>
  <c r="K66" i="3" s="1"/>
  <c r="I65" i="3"/>
  <c r="J65" i="3" s="1"/>
  <c r="K65" i="3" s="1"/>
  <c r="I64" i="3"/>
  <c r="J64" i="3" s="1"/>
  <c r="K64" i="3" s="1"/>
  <c r="I63" i="3"/>
  <c r="J63" i="3" s="1"/>
  <c r="K63" i="3" s="1"/>
  <c r="I62" i="3"/>
  <c r="J62" i="3" s="1"/>
  <c r="K62" i="3" s="1"/>
  <c r="I61" i="3"/>
  <c r="J61" i="3" s="1"/>
  <c r="K61" i="3" s="1"/>
  <c r="I60" i="3"/>
  <c r="J60" i="3" s="1"/>
  <c r="K60" i="3" s="1"/>
  <c r="I59" i="3"/>
  <c r="J59" i="3" s="1"/>
  <c r="K59" i="3" s="1"/>
  <c r="I58" i="3"/>
  <c r="J58" i="3" s="1"/>
  <c r="K58" i="3" s="1"/>
  <c r="I57" i="3"/>
  <c r="J57" i="3" s="1"/>
  <c r="K57" i="3" s="1"/>
  <c r="I56" i="3"/>
  <c r="J56" i="3" s="1"/>
  <c r="K56" i="3" s="1"/>
  <c r="I55" i="3"/>
  <c r="J55" i="3" s="1"/>
  <c r="K55" i="3" s="1"/>
  <c r="I54" i="3"/>
  <c r="J54" i="3" s="1"/>
  <c r="K54" i="3" s="1"/>
  <c r="I53" i="3"/>
  <c r="J53" i="3" s="1"/>
  <c r="K53" i="3" s="1"/>
  <c r="I52" i="3"/>
  <c r="J52" i="3" s="1"/>
  <c r="K52" i="3" s="1"/>
  <c r="I51" i="3"/>
  <c r="J51" i="3" s="1"/>
  <c r="K51" i="3" s="1"/>
  <c r="I50" i="3"/>
  <c r="J50" i="3" s="1"/>
  <c r="K50" i="3" s="1"/>
  <c r="I49" i="3"/>
  <c r="J49" i="3" s="1"/>
  <c r="K49" i="3" s="1"/>
  <c r="I48" i="3"/>
  <c r="J48" i="3" s="1"/>
  <c r="K48" i="3" s="1"/>
  <c r="I47" i="3"/>
  <c r="J47" i="3" s="1"/>
  <c r="K47" i="3" s="1"/>
  <c r="I46" i="3"/>
  <c r="J46" i="3" s="1"/>
  <c r="K46" i="3" s="1"/>
  <c r="I45" i="3"/>
  <c r="J45" i="3" s="1"/>
  <c r="K45" i="3" s="1"/>
  <c r="I44" i="3"/>
  <c r="J44" i="3" s="1"/>
  <c r="K44" i="3" s="1"/>
  <c r="I43" i="3"/>
  <c r="J43" i="3" s="1"/>
  <c r="K43" i="3" s="1"/>
  <c r="I42" i="3"/>
  <c r="J42" i="3" s="1"/>
  <c r="K42" i="3" s="1"/>
  <c r="I41" i="3"/>
  <c r="J41" i="3" s="1"/>
  <c r="K41" i="3" s="1"/>
  <c r="I40" i="3"/>
  <c r="J40" i="3" s="1"/>
  <c r="K40" i="3" s="1"/>
  <c r="I39" i="3"/>
  <c r="J39" i="3" s="1"/>
  <c r="K39" i="3" s="1"/>
  <c r="I38" i="3"/>
  <c r="J38" i="3" s="1"/>
  <c r="K38" i="3" s="1"/>
  <c r="I37" i="3"/>
  <c r="J37" i="3" s="1"/>
  <c r="K37" i="3" s="1"/>
  <c r="I36" i="3"/>
  <c r="J36" i="3" s="1"/>
  <c r="K36" i="3" s="1"/>
  <c r="I35" i="3"/>
  <c r="J35" i="3" s="1"/>
  <c r="K35" i="3" s="1"/>
  <c r="I34" i="3"/>
  <c r="J34" i="3" s="1"/>
  <c r="K34" i="3" s="1"/>
  <c r="I33" i="3"/>
  <c r="J33" i="3" s="1"/>
  <c r="K33" i="3" s="1"/>
  <c r="I32" i="3"/>
  <c r="J32" i="3" s="1"/>
  <c r="K32" i="3" s="1"/>
  <c r="I31" i="3"/>
  <c r="J31" i="3" s="1"/>
  <c r="K31" i="3" s="1"/>
  <c r="I30" i="3"/>
  <c r="J30" i="3" s="1"/>
  <c r="K30" i="3" s="1"/>
  <c r="I29" i="3"/>
  <c r="J29" i="3" s="1"/>
  <c r="K29" i="3" s="1"/>
  <c r="I28" i="3"/>
  <c r="J28" i="3" s="1"/>
  <c r="K28" i="3" s="1"/>
  <c r="I27" i="3"/>
  <c r="J27" i="3" s="1"/>
  <c r="K27" i="3" s="1"/>
  <c r="I26" i="3"/>
  <c r="J26" i="3" s="1"/>
  <c r="K26" i="3" s="1"/>
  <c r="I25" i="3"/>
  <c r="J25" i="3" s="1"/>
  <c r="K25" i="3" s="1"/>
  <c r="I24" i="3"/>
  <c r="J24" i="3" s="1"/>
  <c r="K24" i="3" s="1"/>
  <c r="I23" i="3"/>
  <c r="J23" i="3" s="1"/>
  <c r="K23" i="3" s="1"/>
  <c r="I22" i="3"/>
  <c r="J22" i="3" s="1"/>
  <c r="K22" i="3" s="1"/>
  <c r="I21" i="3"/>
  <c r="J21" i="3" s="1"/>
  <c r="K21" i="3" s="1"/>
  <c r="I20" i="3"/>
  <c r="J20" i="3" s="1"/>
  <c r="K20" i="3" s="1"/>
  <c r="I19" i="3"/>
  <c r="J19" i="3" s="1"/>
  <c r="K19" i="3" s="1"/>
  <c r="I18" i="3"/>
  <c r="J18" i="3" s="1"/>
  <c r="K18" i="3" s="1"/>
  <c r="I17" i="3"/>
  <c r="J17" i="3" s="1"/>
  <c r="K17" i="3" s="1"/>
  <c r="I16" i="3"/>
  <c r="J16" i="3" s="1"/>
  <c r="K16" i="3" s="1"/>
  <c r="I15" i="3"/>
  <c r="J15" i="3" s="1"/>
  <c r="K15" i="3" s="1"/>
  <c r="I14" i="3"/>
  <c r="J14" i="3" s="1"/>
  <c r="K14" i="3" s="1"/>
  <c r="I13" i="3"/>
  <c r="J13" i="3" s="1"/>
  <c r="K13" i="3" s="1"/>
  <c r="I12" i="3"/>
  <c r="J12" i="3" s="1"/>
  <c r="K12" i="3" s="1"/>
  <c r="I11" i="3"/>
  <c r="J11" i="3" s="1"/>
  <c r="K11" i="3" s="1"/>
  <c r="I10" i="3"/>
  <c r="J10" i="3" s="1"/>
  <c r="K10" i="3" s="1"/>
  <c r="I9" i="3"/>
  <c r="J9" i="3" s="1"/>
  <c r="K9" i="3" s="1"/>
  <c r="I8" i="3"/>
  <c r="J8" i="3" s="1"/>
  <c r="K8" i="3" s="1"/>
  <c r="I7" i="3"/>
  <c r="J7" i="3" s="1"/>
  <c r="K7" i="3" s="1"/>
  <c r="I6" i="3"/>
  <c r="J6" i="3" s="1"/>
  <c r="K6" i="3" s="1"/>
  <c r="I5" i="3"/>
  <c r="J5" i="3" s="1"/>
  <c r="K5" i="3" s="1"/>
  <c r="I4" i="3"/>
  <c r="J4" i="3" s="1"/>
  <c r="K4" i="3" s="1"/>
  <c r="I3" i="3"/>
  <c r="J3" i="3" s="1"/>
  <c r="K3" i="3" s="1"/>
  <c r="I2" i="3"/>
  <c r="J2" i="3" s="1"/>
  <c r="K2" i="3" s="1"/>
  <c r="M2" i="4" l="1"/>
  <c r="M145" i="4"/>
  <c r="N145" i="4" s="1"/>
  <c r="O145" i="4" s="1"/>
  <c r="M137" i="4"/>
  <c r="N137" i="4" s="1"/>
  <c r="O137" i="4" s="1"/>
  <c r="M129" i="4"/>
  <c r="N129" i="4" s="1"/>
  <c r="O129" i="4" s="1"/>
  <c r="M121" i="4"/>
  <c r="N121" i="4" s="1"/>
  <c r="O121" i="4" s="1"/>
  <c r="M113" i="4"/>
  <c r="N113" i="4" s="1"/>
  <c r="O113" i="4" s="1"/>
  <c r="M105" i="4"/>
  <c r="N105" i="4" s="1"/>
  <c r="O105" i="4" s="1"/>
  <c r="M144" i="4"/>
  <c r="N144" i="4" s="1"/>
  <c r="O144" i="4" s="1"/>
  <c r="M136" i="4"/>
  <c r="N136" i="4" s="1"/>
  <c r="O136" i="4" s="1"/>
  <c r="M128" i="4"/>
  <c r="N128" i="4" s="1"/>
  <c r="O128" i="4" s="1"/>
  <c r="M120" i="4"/>
  <c r="N120" i="4" s="1"/>
  <c r="O120" i="4" s="1"/>
  <c r="M112" i="4"/>
  <c r="N112" i="4" s="1"/>
  <c r="O112" i="4" s="1"/>
  <c r="M104" i="4"/>
  <c r="N104" i="4" s="1"/>
  <c r="O104" i="4" s="1"/>
  <c r="M151" i="4"/>
  <c r="N151" i="4" s="1"/>
  <c r="O151" i="4" s="1"/>
  <c r="M143" i="4"/>
  <c r="N143" i="4" s="1"/>
  <c r="O143" i="4" s="1"/>
  <c r="M135" i="4"/>
  <c r="N135" i="4" s="1"/>
  <c r="O135" i="4" s="1"/>
  <c r="M127" i="4"/>
  <c r="N127" i="4" s="1"/>
  <c r="O127" i="4" s="1"/>
  <c r="M119" i="4"/>
  <c r="N119" i="4" s="1"/>
  <c r="O119" i="4" s="1"/>
  <c r="M111" i="4"/>
  <c r="N111" i="4" s="1"/>
  <c r="O111" i="4" s="1"/>
  <c r="M103" i="4"/>
  <c r="N103" i="4" s="1"/>
  <c r="O103" i="4" s="1"/>
  <c r="M150" i="4"/>
  <c r="N150" i="4" s="1"/>
  <c r="O150" i="4" s="1"/>
  <c r="M142" i="4"/>
  <c r="N142" i="4" s="1"/>
  <c r="O142" i="4" s="1"/>
  <c r="M134" i="4"/>
  <c r="N134" i="4" s="1"/>
  <c r="O134" i="4" s="1"/>
  <c r="M126" i="4"/>
  <c r="N126" i="4" s="1"/>
  <c r="O126" i="4" s="1"/>
  <c r="M118" i="4"/>
  <c r="N118" i="4" s="1"/>
  <c r="O118" i="4" s="1"/>
  <c r="M110" i="4"/>
  <c r="N110" i="4" s="1"/>
  <c r="O110" i="4" s="1"/>
  <c r="M102" i="4"/>
  <c r="N102" i="4" s="1"/>
  <c r="O102" i="4" s="1"/>
  <c r="M149" i="4"/>
  <c r="N149" i="4" s="1"/>
  <c r="O149" i="4" s="1"/>
  <c r="M141" i="4"/>
  <c r="N141" i="4" s="1"/>
  <c r="O141" i="4" s="1"/>
  <c r="M133" i="4"/>
  <c r="N133" i="4" s="1"/>
  <c r="O133" i="4" s="1"/>
  <c r="M125" i="4"/>
  <c r="N125" i="4" s="1"/>
  <c r="O125" i="4" s="1"/>
  <c r="M117" i="4"/>
  <c r="N117" i="4" s="1"/>
  <c r="O117" i="4" s="1"/>
  <c r="M109" i="4"/>
  <c r="N109" i="4" s="1"/>
  <c r="O109" i="4" s="1"/>
  <c r="M148" i="4"/>
  <c r="N148" i="4" s="1"/>
  <c r="O148" i="4" s="1"/>
  <c r="M140" i="4"/>
  <c r="N140" i="4" s="1"/>
  <c r="O140" i="4" s="1"/>
  <c r="M132" i="4"/>
  <c r="N132" i="4" s="1"/>
  <c r="O132" i="4" s="1"/>
  <c r="M124" i="4"/>
  <c r="N124" i="4" s="1"/>
  <c r="O124" i="4" s="1"/>
  <c r="M116" i="4"/>
  <c r="N116" i="4" s="1"/>
  <c r="O116" i="4" s="1"/>
  <c r="M108" i="4"/>
  <c r="N108" i="4" s="1"/>
  <c r="O108" i="4" s="1"/>
  <c r="M147" i="4"/>
  <c r="N147" i="4" s="1"/>
  <c r="O147" i="4" s="1"/>
  <c r="M139" i="4"/>
  <c r="N139" i="4" s="1"/>
  <c r="O139" i="4" s="1"/>
  <c r="M131" i="4"/>
  <c r="N131" i="4" s="1"/>
  <c r="O131" i="4" s="1"/>
  <c r="M123" i="4"/>
  <c r="N123" i="4" s="1"/>
  <c r="O123" i="4" s="1"/>
  <c r="M115" i="4"/>
  <c r="N115" i="4" s="1"/>
  <c r="O115" i="4" s="1"/>
  <c r="M107" i="4"/>
  <c r="N107" i="4" s="1"/>
  <c r="O107" i="4" s="1"/>
  <c r="M146" i="4"/>
  <c r="N146" i="4" s="1"/>
  <c r="O146" i="4" s="1"/>
  <c r="M138" i="4"/>
  <c r="N138" i="4" s="1"/>
  <c r="O138" i="4" s="1"/>
  <c r="M130" i="4"/>
  <c r="N130" i="4" s="1"/>
  <c r="O130" i="4" s="1"/>
  <c r="M122" i="4"/>
  <c r="N122" i="4" s="1"/>
  <c r="O122" i="4" s="1"/>
  <c r="M114" i="4"/>
  <c r="N114" i="4" s="1"/>
  <c r="O114" i="4" s="1"/>
  <c r="M106" i="4"/>
  <c r="N106" i="4" s="1"/>
  <c r="O106" i="4" s="1"/>
  <c r="M6" i="4"/>
  <c r="N6" i="4" s="1"/>
  <c r="O6" i="4" s="1"/>
  <c r="M14" i="4"/>
  <c r="N14" i="4" s="1"/>
  <c r="O14" i="4" s="1"/>
  <c r="M22" i="4"/>
  <c r="N22" i="4" s="1"/>
  <c r="O22" i="4" s="1"/>
  <c r="M30" i="4"/>
  <c r="N30" i="4" s="1"/>
  <c r="O30" i="4" s="1"/>
  <c r="M38" i="4"/>
  <c r="N38" i="4" s="1"/>
  <c r="O38" i="4" s="1"/>
  <c r="M46" i="4"/>
  <c r="N46" i="4" s="1"/>
  <c r="O46" i="4" s="1"/>
  <c r="M54" i="4"/>
  <c r="N54" i="4" s="1"/>
  <c r="O54" i="4" s="1"/>
  <c r="M62" i="4"/>
  <c r="N62" i="4" s="1"/>
  <c r="O62" i="4" s="1"/>
  <c r="M70" i="4"/>
  <c r="N70" i="4" s="1"/>
  <c r="O70" i="4" s="1"/>
  <c r="M78" i="4"/>
  <c r="N78" i="4" s="1"/>
  <c r="O78" i="4" s="1"/>
  <c r="M86" i="4"/>
  <c r="N86" i="4" s="1"/>
  <c r="O86" i="4" s="1"/>
  <c r="M94" i="4"/>
  <c r="N94" i="4" s="1"/>
  <c r="O94" i="4" s="1"/>
  <c r="M9" i="4"/>
  <c r="N9" i="4" s="1"/>
  <c r="O9" i="4" s="1"/>
  <c r="M17" i="4"/>
  <c r="N17" i="4" s="1"/>
  <c r="O17" i="4" s="1"/>
  <c r="M25" i="4"/>
  <c r="N25" i="4" s="1"/>
  <c r="O25" i="4" s="1"/>
  <c r="M33" i="4"/>
  <c r="N33" i="4" s="1"/>
  <c r="O33" i="4" s="1"/>
  <c r="M41" i="4"/>
  <c r="N41" i="4" s="1"/>
  <c r="O41" i="4" s="1"/>
  <c r="M49" i="4"/>
  <c r="N49" i="4" s="1"/>
  <c r="O49" i="4" s="1"/>
  <c r="M57" i="4"/>
  <c r="N57" i="4" s="1"/>
  <c r="O57" i="4" s="1"/>
  <c r="M65" i="4"/>
  <c r="N65" i="4" s="1"/>
  <c r="O65" i="4" s="1"/>
  <c r="M73" i="4"/>
  <c r="N73" i="4" s="1"/>
  <c r="O73" i="4" s="1"/>
  <c r="M81" i="4"/>
  <c r="N81" i="4" s="1"/>
  <c r="O81" i="4" s="1"/>
  <c r="M89" i="4"/>
  <c r="N89" i="4" s="1"/>
  <c r="O89" i="4" s="1"/>
  <c r="M97" i="4"/>
  <c r="N97" i="4" s="1"/>
  <c r="O97" i="4" s="1"/>
  <c r="M4" i="4"/>
  <c r="N4" i="4" s="1"/>
  <c r="O4" i="4" s="1"/>
  <c r="M12" i="4"/>
  <c r="N12" i="4" s="1"/>
  <c r="O12" i="4" s="1"/>
  <c r="M20" i="4"/>
  <c r="N20" i="4" s="1"/>
  <c r="O20" i="4" s="1"/>
  <c r="M28" i="4"/>
  <c r="N28" i="4" s="1"/>
  <c r="O28" i="4" s="1"/>
  <c r="M36" i="4"/>
  <c r="N36" i="4" s="1"/>
  <c r="O36" i="4" s="1"/>
  <c r="M44" i="4"/>
  <c r="N44" i="4" s="1"/>
  <c r="O44" i="4" s="1"/>
  <c r="M52" i="4"/>
  <c r="N52" i="4" s="1"/>
  <c r="O52" i="4" s="1"/>
  <c r="M60" i="4"/>
  <c r="N60" i="4" s="1"/>
  <c r="O60" i="4" s="1"/>
  <c r="M68" i="4"/>
  <c r="N68" i="4" s="1"/>
  <c r="O68" i="4" s="1"/>
  <c r="M76" i="4"/>
  <c r="N76" i="4" s="1"/>
  <c r="O76" i="4" s="1"/>
  <c r="M84" i="4"/>
  <c r="N84" i="4" s="1"/>
  <c r="O84" i="4" s="1"/>
  <c r="M92" i="4"/>
  <c r="N92" i="4" s="1"/>
  <c r="O92" i="4" s="1"/>
  <c r="M100" i="4"/>
  <c r="N100" i="4" s="1"/>
  <c r="O100" i="4" s="1"/>
  <c r="M7" i="4"/>
  <c r="N7" i="4" s="1"/>
  <c r="O7" i="4" s="1"/>
  <c r="M15" i="4"/>
  <c r="N15" i="4" s="1"/>
  <c r="O15" i="4" s="1"/>
  <c r="M23" i="4"/>
  <c r="N23" i="4" s="1"/>
  <c r="O23" i="4" s="1"/>
  <c r="M31" i="4"/>
  <c r="N31" i="4" s="1"/>
  <c r="O31" i="4" s="1"/>
  <c r="M39" i="4"/>
  <c r="N39" i="4" s="1"/>
  <c r="O39" i="4" s="1"/>
  <c r="M47" i="4"/>
  <c r="N47" i="4" s="1"/>
  <c r="O47" i="4" s="1"/>
  <c r="M55" i="4"/>
  <c r="N55" i="4" s="1"/>
  <c r="O55" i="4" s="1"/>
  <c r="M63" i="4"/>
  <c r="N63" i="4" s="1"/>
  <c r="O63" i="4" s="1"/>
  <c r="M71" i="4"/>
  <c r="N71" i="4" s="1"/>
  <c r="O71" i="4" s="1"/>
  <c r="M79" i="4"/>
  <c r="N79" i="4" s="1"/>
  <c r="O79" i="4" s="1"/>
  <c r="M87" i="4"/>
  <c r="N87" i="4" s="1"/>
  <c r="O87" i="4" s="1"/>
  <c r="M95" i="4"/>
  <c r="N95" i="4" s="1"/>
  <c r="O95" i="4" s="1"/>
  <c r="M10" i="4"/>
  <c r="N10" i="4" s="1"/>
  <c r="O10" i="4" s="1"/>
  <c r="M18" i="4"/>
  <c r="N18" i="4" s="1"/>
  <c r="O18" i="4" s="1"/>
  <c r="M26" i="4"/>
  <c r="N26" i="4" s="1"/>
  <c r="O26" i="4" s="1"/>
  <c r="M34" i="4"/>
  <c r="N34" i="4" s="1"/>
  <c r="O34" i="4" s="1"/>
  <c r="M42" i="4"/>
  <c r="N42" i="4" s="1"/>
  <c r="O42" i="4" s="1"/>
  <c r="M50" i="4"/>
  <c r="N50" i="4" s="1"/>
  <c r="O50" i="4" s="1"/>
  <c r="M58" i="4"/>
  <c r="N58" i="4" s="1"/>
  <c r="O58" i="4" s="1"/>
  <c r="M66" i="4"/>
  <c r="N66" i="4" s="1"/>
  <c r="O66" i="4" s="1"/>
  <c r="M74" i="4"/>
  <c r="N74" i="4" s="1"/>
  <c r="O74" i="4" s="1"/>
  <c r="M82" i="4"/>
  <c r="N82" i="4" s="1"/>
  <c r="O82" i="4" s="1"/>
  <c r="M90" i="4"/>
  <c r="N90" i="4" s="1"/>
  <c r="O90" i="4" s="1"/>
  <c r="M98" i="4"/>
  <c r="N98" i="4" s="1"/>
  <c r="O98" i="4" s="1"/>
  <c r="M5" i="4"/>
  <c r="N5" i="4" s="1"/>
  <c r="O5" i="4" s="1"/>
  <c r="M13" i="4"/>
  <c r="N13" i="4" s="1"/>
  <c r="O13" i="4" s="1"/>
  <c r="M21" i="4"/>
  <c r="N21" i="4" s="1"/>
  <c r="O21" i="4" s="1"/>
  <c r="M29" i="4"/>
  <c r="N29" i="4" s="1"/>
  <c r="O29" i="4" s="1"/>
  <c r="M37" i="4"/>
  <c r="N37" i="4" s="1"/>
  <c r="O37" i="4" s="1"/>
  <c r="M45" i="4"/>
  <c r="N45" i="4" s="1"/>
  <c r="O45" i="4" s="1"/>
  <c r="M53" i="4"/>
  <c r="N53" i="4" s="1"/>
  <c r="O53" i="4" s="1"/>
  <c r="M61" i="4"/>
  <c r="N61" i="4" s="1"/>
  <c r="O61" i="4" s="1"/>
  <c r="M69" i="4"/>
  <c r="N69" i="4" s="1"/>
  <c r="O69" i="4" s="1"/>
  <c r="M77" i="4"/>
  <c r="N77" i="4" s="1"/>
  <c r="O77" i="4" s="1"/>
  <c r="M85" i="4"/>
  <c r="N85" i="4" s="1"/>
  <c r="O85" i="4" s="1"/>
  <c r="M93" i="4"/>
  <c r="N93" i="4" s="1"/>
  <c r="O93" i="4" s="1"/>
  <c r="M101" i="4"/>
  <c r="N101" i="4" s="1"/>
  <c r="O101" i="4" s="1"/>
  <c r="M8" i="4"/>
  <c r="N8" i="4" s="1"/>
  <c r="O8" i="4" s="1"/>
  <c r="M16" i="4"/>
  <c r="N16" i="4" s="1"/>
  <c r="O16" i="4" s="1"/>
  <c r="M24" i="4"/>
  <c r="N24" i="4" s="1"/>
  <c r="O24" i="4" s="1"/>
  <c r="M32" i="4"/>
  <c r="N32" i="4" s="1"/>
  <c r="O32" i="4" s="1"/>
  <c r="M40" i="4"/>
  <c r="N40" i="4" s="1"/>
  <c r="O40" i="4" s="1"/>
  <c r="M48" i="4"/>
  <c r="N48" i="4" s="1"/>
  <c r="O48" i="4" s="1"/>
  <c r="M56" i="4"/>
  <c r="N56" i="4" s="1"/>
  <c r="O56" i="4" s="1"/>
  <c r="M64" i="4"/>
  <c r="N64" i="4" s="1"/>
  <c r="O64" i="4" s="1"/>
  <c r="M72" i="4"/>
  <c r="N72" i="4" s="1"/>
  <c r="O72" i="4" s="1"/>
  <c r="M80" i="4"/>
  <c r="N80" i="4" s="1"/>
  <c r="O80" i="4" s="1"/>
  <c r="M88" i="4"/>
  <c r="N88" i="4" s="1"/>
  <c r="O88" i="4" s="1"/>
  <c r="M96" i="4"/>
  <c r="N96" i="4" s="1"/>
  <c r="O96" i="4" s="1"/>
  <c r="M3" i="4"/>
  <c r="N3" i="4" s="1"/>
  <c r="O3" i="4" s="1"/>
  <c r="M11" i="4"/>
  <c r="N11" i="4" s="1"/>
  <c r="O11" i="4" s="1"/>
  <c r="M19" i="4"/>
  <c r="N19" i="4" s="1"/>
  <c r="O19" i="4" s="1"/>
  <c r="M27" i="4"/>
  <c r="N27" i="4" s="1"/>
  <c r="O27" i="4" s="1"/>
  <c r="M35" i="4"/>
  <c r="N35" i="4" s="1"/>
  <c r="O35" i="4" s="1"/>
  <c r="M43" i="4"/>
  <c r="N43" i="4" s="1"/>
  <c r="O43" i="4" s="1"/>
  <c r="M51" i="4"/>
  <c r="N51" i="4" s="1"/>
  <c r="O51" i="4" s="1"/>
  <c r="M59" i="4"/>
  <c r="N59" i="4" s="1"/>
  <c r="O59" i="4" s="1"/>
  <c r="M67" i="4"/>
  <c r="N67" i="4" s="1"/>
  <c r="O67" i="4" s="1"/>
  <c r="M75" i="4"/>
  <c r="N75" i="4" s="1"/>
  <c r="O75" i="4" s="1"/>
  <c r="M83" i="4"/>
  <c r="N83" i="4" s="1"/>
  <c r="O83" i="4" s="1"/>
  <c r="M91" i="4"/>
  <c r="N91" i="4" s="1"/>
  <c r="O91" i="4" s="1"/>
  <c r="M99" i="4"/>
  <c r="N99" i="4" s="1"/>
  <c r="O99" i="4" s="1"/>
  <c r="M8" i="3"/>
  <c r="K52" i="1"/>
  <c r="K60" i="1"/>
  <c r="K62" i="1"/>
  <c r="K70" i="1"/>
  <c r="K76" i="1"/>
  <c r="K86" i="1"/>
  <c r="I52" i="1"/>
  <c r="I53" i="1"/>
  <c r="I54" i="1"/>
  <c r="I55" i="1"/>
  <c r="I56" i="1"/>
  <c r="I57" i="1"/>
  <c r="J57" i="1" s="1"/>
  <c r="K57" i="1" s="1"/>
  <c r="I58" i="1"/>
  <c r="J58" i="1" s="1"/>
  <c r="K58" i="1" s="1"/>
  <c r="I59" i="1"/>
  <c r="J59" i="1" s="1"/>
  <c r="K59" i="1" s="1"/>
  <c r="I60" i="1"/>
  <c r="I61" i="1"/>
  <c r="I62" i="1"/>
  <c r="I63" i="1"/>
  <c r="I64" i="1"/>
  <c r="I65" i="1"/>
  <c r="J65" i="1" s="1"/>
  <c r="K65" i="1" s="1"/>
  <c r="I66" i="1"/>
  <c r="I67" i="1"/>
  <c r="J67" i="1" s="1"/>
  <c r="K67" i="1" s="1"/>
  <c r="I68" i="1"/>
  <c r="I69" i="1"/>
  <c r="I70" i="1"/>
  <c r="I71" i="1"/>
  <c r="I72" i="1"/>
  <c r="J72" i="1" s="1"/>
  <c r="K72" i="1" s="1"/>
  <c r="I73" i="1"/>
  <c r="J73" i="1" s="1"/>
  <c r="K73" i="1" s="1"/>
  <c r="I74" i="1"/>
  <c r="J74" i="1" s="1"/>
  <c r="K74" i="1" s="1"/>
  <c r="I75" i="1"/>
  <c r="J75" i="1" s="1"/>
  <c r="K75" i="1" s="1"/>
  <c r="I76" i="1"/>
  <c r="I77" i="1"/>
  <c r="J77" i="1" s="1"/>
  <c r="K77" i="1" s="1"/>
  <c r="I78" i="1"/>
  <c r="I79" i="1"/>
  <c r="I80" i="1"/>
  <c r="J80" i="1" s="1"/>
  <c r="K80" i="1" s="1"/>
  <c r="I81" i="1"/>
  <c r="J81" i="1" s="1"/>
  <c r="K81" i="1" s="1"/>
  <c r="I82" i="1"/>
  <c r="J82" i="1" s="1"/>
  <c r="K82" i="1" s="1"/>
  <c r="I83" i="1"/>
  <c r="J83" i="1" s="1"/>
  <c r="K83" i="1" s="1"/>
  <c r="I84" i="1"/>
  <c r="I85" i="1"/>
  <c r="I86" i="1"/>
  <c r="I87" i="1"/>
  <c r="J87" i="1" s="1"/>
  <c r="K87" i="1" s="1"/>
  <c r="I88" i="1"/>
  <c r="J88" i="1" s="1"/>
  <c r="K88" i="1" s="1"/>
  <c r="I89" i="1"/>
  <c r="J89" i="1" s="1"/>
  <c r="K89" i="1" s="1"/>
  <c r="I90" i="1"/>
  <c r="J90" i="1" s="1"/>
  <c r="K90" i="1" s="1"/>
  <c r="I91" i="1"/>
  <c r="J91" i="1" s="1"/>
  <c r="K91" i="1" s="1"/>
  <c r="I92" i="1"/>
  <c r="J92" i="1" s="1"/>
  <c r="K92" i="1" s="1"/>
  <c r="I93" i="1"/>
  <c r="J93" i="1" s="1"/>
  <c r="K93" i="1" s="1"/>
  <c r="I94" i="1"/>
  <c r="I95" i="1"/>
  <c r="I96" i="1"/>
  <c r="J96" i="1" s="1"/>
  <c r="K96" i="1" s="1"/>
  <c r="I97" i="1"/>
  <c r="J97" i="1" s="1"/>
  <c r="K97" i="1" s="1"/>
  <c r="I98" i="1"/>
  <c r="J98" i="1" s="1"/>
  <c r="K98" i="1" s="1"/>
  <c r="I99" i="1"/>
  <c r="J99" i="1" s="1"/>
  <c r="K99" i="1" s="1"/>
  <c r="I100" i="1"/>
  <c r="I101" i="1"/>
  <c r="J8" i="1"/>
  <c r="K8" i="1" s="1"/>
  <c r="J10" i="1"/>
  <c r="K10" i="1" s="1"/>
  <c r="J16" i="1"/>
  <c r="K16" i="1" s="1"/>
  <c r="J18" i="1"/>
  <c r="K18" i="1" s="1"/>
  <c r="J23" i="1"/>
  <c r="K23" i="1" s="1"/>
  <c r="J24" i="1"/>
  <c r="K24" i="1" s="1"/>
  <c r="J25" i="1"/>
  <c r="K25" i="1" s="1"/>
  <c r="J26" i="1"/>
  <c r="K26" i="1" s="1"/>
  <c r="J32" i="1"/>
  <c r="K32" i="1" s="1"/>
  <c r="J33" i="1"/>
  <c r="K33" i="1" s="1"/>
  <c r="J34" i="1"/>
  <c r="K34" i="1" s="1"/>
  <c r="J39" i="1"/>
  <c r="K39" i="1" s="1"/>
  <c r="J40" i="1"/>
  <c r="K40" i="1" s="1"/>
  <c r="J41" i="1"/>
  <c r="K41" i="1" s="1"/>
  <c r="J42" i="1"/>
  <c r="K42" i="1" s="1"/>
  <c r="J47" i="1"/>
  <c r="K47" i="1" s="1"/>
  <c r="J48" i="1"/>
  <c r="K48" i="1" s="1"/>
  <c r="J49" i="1"/>
  <c r="K49" i="1" s="1"/>
  <c r="J50" i="1"/>
  <c r="K50" i="1" s="1"/>
  <c r="J52" i="1"/>
  <c r="J53" i="1"/>
  <c r="K53" i="1" s="1"/>
  <c r="J54" i="1"/>
  <c r="K54" i="1" s="1"/>
  <c r="J55" i="1"/>
  <c r="K55" i="1" s="1"/>
  <c r="J56" i="1"/>
  <c r="K56" i="1" s="1"/>
  <c r="J60" i="1"/>
  <c r="J61" i="1"/>
  <c r="K61" i="1" s="1"/>
  <c r="J62" i="1"/>
  <c r="J63" i="1"/>
  <c r="K63" i="1" s="1"/>
  <c r="J64" i="1"/>
  <c r="K64" i="1" s="1"/>
  <c r="J66" i="1"/>
  <c r="K66" i="1" s="1"/>
  <c r="J68" i="1"/>
  <c r="K68" i="1" s="1"/>
  <c r="J69" i="1"/>
  <c r="K69" i="1" s="1"/>
  <c r="J70" i="1"/>
  <c r="J71" i="1"/>
  <c r="K71" i="1" s="1"/>
  <c r="J76" i="1"/>
  <c r="J78" i="1"/>
  <c r="K78" i="1" s="1"/>
  <c r="J79" i="1"/>
  <c r="K79" i="1" s="1"/>
  <c r="J84" i="1"/>
  <c r="K84" i="1" s="1"/>
  <c r="J85" i="1"/>
  <c r="K85" i="1" s="1"/>
  <c r="J86" i="1"/>
  <c r="J94" i="1"/>
  <c r="K94" i="1" s="1"/>
  <c r="J95" i="1"/>
  <c r="K95" i="1" s="1"/>
  <c r="J100" i="1"/>
  <c r="K100" i="1" s="1"/>
  <c r="J101" i="1"/>
  <c r="K101" i="1" s="1"/>
  <c r="I51" i="1"/>
  <c r="J51" i="1" s="1"/>
  <c r="K51" i="1" s="1"/>
  <c r="I50" i="1"/>
  <c r="I49" i="1"/>
  <c r="I48" i="1"/>
  <c r="I47" i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I42" i="1"/>
  <c r="I41" i="1"/>
  <c r="I40" i="1"/>
  <c r="I39" i="1"/>
  <c r="I38" i="1"/>
  <c r="J38" i="1" s="1"/>
  <c r="K38" i="1" s="1"/>
  <c r="I37" i="1"/>
  <c r="J37" i="1" s="1"/>
  <c r="K37" i="1" s="1"/>
  <c r="I36" i="1"/>
  <c r="J36" i="1" s="1"/>
  <c r="K36" i="1" s="1"/>
  <c r="I35" i="1"/>
  <c r="J35" i="1" s="1"/>
  <c r="K35" i="1" s="1"/>
  <c r="I34" i="1"/>
  <c r="I33" i="1"/>
  <c r="I32" i="1"/>
  <c r="I31" i="1"/>
  <c r="J31" i="1" s="1"/>
  <c r="K31" i="1" s="1"/>
  <c r="I30" i="1"/>
  <c r="J30" i="1" s="1"/>
  <c r="K30" i="1" s="1"/>
  <c r="I29" i="1"/>
  <c r="J29" i="1" s="1"/>
  <c r="K29" i="1" s="1"/>
  <c r="I28" i="1"/>
  <c r="J28" i="1" s="1"/>
  <c r="K28" i="1" s="1"/>
  <c r="I27" i="1"/>
  <c r="J27" i="1" s="1"/>
  <c r="K27" i="1" s="1"/>
  <c r="I26" i="1"/>
  <c r="I25" i="1"/>
  <c r="I24" i="1"/>
  <c r="I23" i="1"/>
  <c r="I22" i="1"/>
  <c r="J22" i="1" s="1"/>
  <c r="K22" i="1" s="1"/>
  <c r="I21" i="1"/>
  <c r="J21" i="1" s="1"/>
  <c r="K21" i="1" s="1"/>
  <c r="I20" i="1"/>
  <c r="J20" i="1" s="1"/>
  <c r="K20" i="1" s="1"/>
  <c r="I19" i="1"/>
  <c r="J19" i="1" s="1"/>
  <c r="K19" i="1" s="1"/>
  <c r="I18" i="1"/>
  <c r="I17" i="1"/>
  <c r="J17" i="1" s="1"/>
  <c r="K17" i="1" s="1"/>
  <c r="I16" i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I9" i="1"/>
  <c r="J9" i="1" s="1"/>
  <c r="K9" i="1" s="1"/>
  <c r="I8" i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I2" i="1"/>
  <c r="J2" i="1" s="1"/>
  <c r="K2" i="1" s="1"/>
  <c r="M8" i="1" l="1"/>
</calcChain>
</file>

<file path=xl/sharedStrings.xml><?xml version="1.0" encoding="utf-8"?>
<sst xmlns="http://schemas.openxmlformats.org/spreadsheetml/2006/main" count="653" uniqueCount="104">
  <si>
    <t>richesse</t>
  </si>
  <si>
    <t>yw(%)</t>
  </si>
  <si>
    <t>spe file name</t>
  </si>
  <si>
    <t>start</t>
  </si>
  <si>
    <t>end</t>
  </si>
  <si>
    <t>image_name</t>
  </si>
  <si>
    <t>pred_label</t>
  </si>
  <si>
    <t>Richesse</t>
  </si>
  <si>
    <t>10_37_34</t>
  </si>
  <si>
    <t>11 04 59</t>
  </si>
  <si>
    <t>11 07 05</t>
  </si>
  <si>
    <t>15_48_22</t>
  </si>
  <si>
    <t>11_06_44</t>
  </si>
  <si>
    <t>11 11 02</t>
  </si>
  <si>
    <t>11 13 08</t>
  </si>
  <si>
    <t>12_51_00</t>
  </si>
  <si>
    <t>11_12_14</t>
  </si>
  <si>
    <t>11 16 38</t>
  </si>
  <si>
    <t>11 18 44</t>
  </si>
  <si>
    <t>11_17_49</t>
  </si>
  <si>
    <t>11 22 12</t>
  </si>
  <si>
    <t>11 24 18</t>
  </si>
  <si>
    <t>15_53_53</t>
  </si>
  <si>
    <t>11_23_27</t>
  </si>
  <si>
    <t>11 28 07</t>
  </si>
  <si>
    <t>11 30 13</t>
  </si>
  <si>
    <t>14_53_35</t>
  </si>
  <si>
    <t>11_29_20</t>
  </si>
  <si>
    <t>11 33 52</t>
  </si>
  <si>
    <t>11 35 58</t>
  </si>
  <si>
    <t>11_35_07</t>
  </si>
  <si>
    <t>11 39 30</t>
  </si>
  <si>
    <t>11 41 37</t>
  </si>
  <si>
    <t>15_42_48</t>
  </si>
  <si>
    <t>14_42_19</t>
  </si>
  <si>
    <t>15_37_10</t>
  </si>
  <si>
    <t>13 12 21</t>
  </si>
  <si>
    <t>13 14 27</t>
  </si>
  <si>
    <t>15_59_25</t>
  </si>
  <si>
    <t>13_14_00</t>
  </si>
  <si>
    <t>13 18 20</t>
  </si>
  <si>
    <t>13 20 26</t>
  </si>
  <si>
    <t>13_19_28</t>
  </si>
  <si>
    <t>13 23 52</t>
  </si>
  <si>
    <t>13 25 58</t>
  </si>
  <si>
    <t>13_25_07</t>
  </si>
  <si>
    <t>13 29 31</t>
  </si>
  <si>
    <t>13 31 37</t>
  </si>
  <si>
    <t>14_59_31</t>
  </si>
  <si>
    <t>13_30_38</t>
  </si>
  <si>
    <t>13 35 01</t>
  </si>
  <si>
    <t>13 37 07</t>
  </si>
  <si>
    <t>13_47_07</t>
  </si>
  <si>
    <t>13_36_16</t>
  </si>
  <si>
    <t>13 40 36</t>
  </si>
  <si>
    <t>13 42 40</t>
  </si>
  <si>
    <t>13_41_44</t>
  </si>
  <si>
    <t>13 46 09</t>
  </si>
  <si>
    <t>13 48 15</t>
  </si>
  <si>
    <t>14 24 01</t>
  </si>
  <si>
    <t>14 26 07</t>
  </si>
  <si>
    <t>14_25_32</t>
  </si>
  <si>
    <t>14 29 53</t>
  </si>
  <si>
    <t>14 31 59</t>
  </si>
  <si>
    <t>14_31_04</t>
  </si>
  <si>
    <t>14 35 28</t>
  </si>
  <si>
    <t>14 37 34</t>
  </si>
  <si>
    <t>14_36_39</t>
  </si>
  <si>
    <t>14 41 00</t>
  </si>
  <si>
    <t>14 43 06</t>
  </si>
  <si>
    <t>14 46 40</t>
  </si>
  <si>
    <t>14 48 46</t>
  </si>
  <si>
    <t>14_47_52</t>
  </si>
  <si>
    <t>14 52 16</t>
  </si>
  <si>
    <t>14 54 30</t>
  </si>
  <si>
    <t>14 58 28</t>
  </si>
  <si>
    <t>15 00 34</t>
  </si>
  <si>
    <t>15 30 05</t>
  </si>
  <si>
    <t>15 32 10</t>
  </si>
  <si>
    <t>15_31_37</t>
  </si>
  <si>
    <t>15 35 36</t>
  </si>
  <si>
    <t>15 38 02</t>
  </si>
  <si>
    <t>15 41 28</t>
  </si>
  <si>
    <t>15 43 34</t>
  </si>
  <si>
    <t>15 47 12</t>
  </si>
  <si>
    <t>15 49 18</t>
  </si>
  <si>
    <t>15 52 45</t>
  </si>
  <si>
    <t>15 54 51</t>
  </si>
  <si>
    <t>15 58 16</t>
  </si>
  <si>
    <t>16 00 23</t>
  </si>
  <si>
    <t>16 03 43</t>
  </si>
  <si>
    <t>16 05 49</t>
  </si>
  <si>
    <t>Erreur</t>
  </si>
  <si>
    <t>Erreur positif</t>
  </si>
  <si>
    <t>MAE</t>
  </si>
  <si>
    <t>Grand Total</t>
  </si>
  <si>
    <t>Sum of Richesse</t>
  </si>
  <si>
    <t>TRUE</t>
  </si>
  <si>
    <t>PRED</t>
  </si>
  <si>
    <t>Count of Richesse</t>
  </si>
  <si>
    <t>Répartition de l'erreur</t>
  </si>
  <si>
    <t>CONFIANCE</t>
  </si>
  <si>
    <t xml:space="preserve">Cross entropy </t>
  </si>
  <si>
    <t>Cet Excel présente tout le tâtonnement effectué pour parvenir aux résultats présentés dans le rapport depuis le Jalon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</si>
</sst>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color rgb="FF000000"/>
      <name val="Helvetica Neue"/>
      <family val="2"/>
    </font>
    <font>
      <sz val="11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000000"/>
      <name val="Helvetica Neue"/>
      <family val="2"/>
    </font>
    <font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FA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2" borderId="0" xfId="0" applyNumberFormat="1" applyFill="1"/>
    <xf numFmtId="10" fontId="0" fillId="3" borderId="0" xfId="0" applyNumberFormat="1" applyFill="1"/>
    <xf numFmtId="164" fontId="0" fillId="0" borderId="0" xfId="0" applyNumberFormat="1"/>
    <xf numFmtId="10" fontId="0" fillId="4" borderId="0" xfId="0" applyNumberFormat="1" applyFill="1"/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rgb="FFF4FFAB"/>
        </patternFill>
      </fill>
    </dxf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4FFAB"/>
        </patternFill>
      </fill>
    </dxf>
    <dxf>
      <fill>
        <patternFill patternType="solid">
          <fgColor indexed="64"/>
          <bgColor rgb="FFF4FFAB"/>
        </patternFill>
      </fill>
    </dxf>
    <dxf>
      <fill>
        <patternFill patternType="solid">
          <fgColor indexed="64"/>
          <bgColor rgb="FFF4FFAB"/>
        </patternFill>
      </fill>
    </dxf>
    <dxf>
      <fill>
        <patternFill patternType="solid">
          <bgColor rgb="FFF4FFAB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rgb="FFF4FFAB"/>
        </patternFill>
      </fill>
    </dxf>
    <dxf>
      <fill>
        <patternFill patternType="solid">
          <fgColor indexed="64"/>
          <bgColor rgb="FFF4FFAB"/>
        </patternFill>
      </fill>
    </dxf>
    <dxf>
      <fill>
        <patternFill patternType="solid">
          <fgColor indexed="64"/>
          <bgColor rgb="FFF4FFAB"/>
        </patternFill>
      </fill>
    </dxf>
    <dxf>
      <fill>
        <patternFill patternType="solid">
          <fgColor indexed="64"/>
          <bgColor rgb="FFF4FFAB"/>
        </patternFill>
      </fill>
    </dxf>
    <dxf>
      <fill>
        <patternFill>
          <bgColor rgb="FFF4FFAB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4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84.636480208334" createdVersion="8" refreshedVersion="8" minRefreshableVersion="3" recordCount="100" xr:uid="{90A1119C-6103-4848-BFD5-38DDFC279DEE}">
  <cacheSource type="worksheet">
    <worksheetSource ref="H1:I101" sheet="0 10 20"/>
  </cacheSource>
  <cacheFields count="2">
    <cacheField name="pred_label" numFmtId="0">
      <sharedItems containsSemiMixedTypes="0" containsString="0" containsNumber="1" minValue="0.65" maxValue="0.95" count="4">
        <n v="0.95"/>
        <n v="0.65"/>
        <n v="0.75"/>
        <n v="0.85"/>
      </sharedItems>
    </cacheField>
    <cacheField name="Richesse" numFmtId="0">
      <sharedItems containsSemiMixedTypes="0" containsString="0" containsNumber="1" minValue="0.65" maxValue="0.95" count="4">
        <n v="0.95"/>
        <n v="0.65"/>
        <n v="0.75"/>
        <n v="0.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84.645644675926" createdVersion="8" refreshedVersion="8" minRefreshableVersion="3" recordCount="100" xr:uid="{EA6F93B0-91D3-744A-A222-B45FC846D62C}">
  <cacheSource type="worksheet">
    <worksheetSource ref="H1:I101" sheet="0_5_10_15_20"/>
  </cacheSource>
  <cacheFields count="2">
    <cacheField name="pred_label" numFmtId="0">
      <sharedItems containsSemiMixedTypes="0" containsString="0" containsNumber="1" minValue="0.65" maxValue="0.95" count="4">
        <n v="0.95"/>
        <n v="0.65"/>
        <n v="0.85"/>
        <n v="0.75"/>
      </sharedItems>
    </cacheField>
    <cacheField name="Richesse" numFmtId="0">
      <sharedItems containsSemiMixedTypes="0" containsString="0" containsNumber="1" minValue="0.65" maxValue="0.95" count="4">
        <n v="0.85"/>
        <n v="0.65"/>
        <n v="0.75"/>
        <n v="0.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84.658179282407" createdVersion="8" refreshedVersion="8" minRefreshableVersion="3" recordCount="151" xr:uid="{35E3CF07-33B7-5249-B96F-ED09CF1BE851}">
  <cacheSource type="worksheet">
    <worksheetSource ref="H1:I1048576" sheet="ALL"/>
  </cacheSource>
  <cacheFields count="2">
    <cacheField name="pred_label" numFmtId="0">
      <sharedItems containsString="0" containsBlank="1" containsNumber="1" minValue="0.65" maxValue="0.95" count="5">
        <n v="0.75"/>
        <n v="0.95"/>
        <n v="0.65"/>
        <n v="0.85"/>
        <m/>
      </sharedItems>
    </cacheField>
    <cacheField name="Richesse" numFmtId="0">
      <sharedItems containsString="0" containsBlank="1" containsNumber="1" minValue="0.65" maxValue="0.95" count="5">
        <n v="0.75"/>
        <n v="0.95"/>
        <n v="0.65"/>
        <n v="0.8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</r>
  <r>
    <x v="1"/>
    <x v="1"/>
  </r>
  <r>
    <x v="1"/>
    <x v="1"/>
  </r>
  <r>
    <x v="2"/>
    <x v="2"/>
  </r>
  <r>
    <x v="2"/>
    <x v="2"/>
  </r>
  <r>
    <x v="1"/>
    <x v="1"/>
  </r>
  <r>
    <x v="3"/>
    <x v="3"/>
  </r>
  <r>
    <x v="2"/>
    <x v="2"/>
  </r>
  <r>
    <x v="0"/>
    <x v="3"/>
  </r>
  <r>
    <x v="2"/>
    <x v="2"/>
  </r>
  <r>
    <x v="0"/>
    <x v="0"/>
  </r>
  <r>
    <x v="1"/>
    <x v="1"/>
  </r>
  <r>
    <x v="1"/>
    <x v="1"/>
  </r>
  <r>
    <x v="2"/>
    <x v="2"/>
  </r>
  <r>
    <x v="0"/>
    <x v="0"/>
  </r>
  <r>
    <x v="1"/>
    <x v="1"/>
  </r>
  <r>
    <x v="3"/>
    <x v="3"/>
  </r>
  <r>
    <x v="3"/>
    <x v="3"/>
  </r>
  <r>
    <x v="2"/>
    <x v="2"/>
  </r>
  <r>
    <x v="1"/>
    <x v="1"/>
  </r>
  <r>
    <x v="2"/>
    <x v="2"/>
  </r>
  <r>
    <x v="3"/>
    <x v="3"/>
  </r>
  <r>
    <x v="2"/>
    <x v="2"/>
  </r>
  <r>
    <x v="2"/>
    <x v="3"/>
  </r>
  <r>
    <x v="1"/>
    <x v="1"/>
  </r>
  <r>
    <x v="0"/>
    <x v="0"/>
  </r>
  <r>
    <x v="3"/>
    <x v="3"/>
  </r>
  <r>
    <x v="3"/>
    <x v="3"/>
  </r>
  <r>
    <x v="1"/>
    <x v="1"/>
  </r>
  <r>
    <x v="1"/>
    <x v="1"/>
  </r>
  <r>
    <x v="1"/>
    <x v="1"/>
  </r>
  <r>
    <x v="2"/>
    <x v="2"/>
  </r>
  <r>
    <x v="2"/>
    <x v="3"/>
  </r>
  <r>
    <x v="1"/>
    <x v="1"/>
  </r>
  <r>
    <x v="3"/>
    <x v="2"/>
  </r>
  <r>
    <x v="0"/>
    <x v="0"/>
  </r>
  <r>
    <x v="2"/>
    <x v="2"/>
  </r>
  <r>
    <x v="1"/>
    <x v="1"/>
  </r>
  <r>
    <x v="0"/>
    <x v="3"/>
  </r>
  <r>
    <x v="2"/>
    <x v="2"/>
  </r>
  <r>
    <x v="1"/>
    <x v="1"/>
  </r>
  <r>
    <x v="2"/>
    <x v="2"/>
  </r>
  <r>
    <x v="0"/>
    <x v="0"/>
  </r>
  <r>
    <x v="0"/>
    <x v="0"/>
  </r>
  <r>
    <x v="1"/>
    <x v="1"/>
  </r>
  <r>
    <x v="3"/>
    <x v="3"/>
  </r>
  <r>
    <x v="1"/>
    <x v="1"/>
  </r>
  <r>
    <x v="3"/>
    <x v="3"/>
  </r>
  <r>
    <x v="1"/>
    <x v="2"/>
  </r>
  <r>
    <x v="1"/>
    <x v="1"/>
  </r>
  <r>
    <x v="1"/>
    <x v="1"/>
  </r>
  <r>
    <x v="2"/>
    <x v="2"/>
  </r>
  <r>
    <x v="3"/>
    <x v="3"/>
  </r>
  <r>
    <x v="1"/>
    <x v="1"/>
  </r>
  <r>
    <x v="3"/>
    <x v="3"/>
  </r>
  <r>
    <x v="0"/>
    <x v="0"/>
  </r>
  <r>
    <x v="3"/>
    <x v="3"/>
  </r>
  <r>
    <x v="0"/>
    <x v="0"/>
  </r>
  <r>
    <x v="2"/>
    <x v="2"/>
  </r>
  <r>
    <x v="0"/>
    <x v="3"/>
  </r>
  <r>
    <x v="2"/>
    <x v="2"/>
  </r>
  <r>
    <x v="0"/>
    <x v="0"/>
  </r>
  <r>
    <x v="0"/>
    <x v="0"/>
  </r>
  <r>
    <x v="3"/>
    <x v="3"/>
  </r>
  <r>
    <x v="2"/>
    <x v="2"/>
  </r>
  <r>
    <x v="3"/>
    <x v="3"/>
  </r>
  <r>
    <x v="2"/>
    <x v="2"/>
  </r>
  <r>
    <x v="1"/>
    <x v="1"/>
  </r>
  <r>
    <x v="0"/>
    <x v="0"/>
  </r>
  <r>
    <x v="2"/>
    <x v="2"/>
  </r>
  <r>
    <x v="1"/>
    <x v="1"/>
  </r>
  <r>
    <x v="2"/>
    <x v="2"/>
  </r>
  <r>
    <x v="0"/>
    <x v="0"/>
  </r>
  <r>
    <x v="3"/>
    <x v="3"/>
  </r>
  <r>
    <x v="3"/>
    <x v="3"/>
  </r>
  <r>
    <x v="2"/>
    <x v="2"/>
  </r>
  <r>
    <x v="0"/>
    <x v="0"/>
  </r>
  <r>
    <x v="1"/>
    <x v="2"/>
  </r>
  <r>
    <x v="0"/>
    <x v="0"/>
  </r>
  <r>
    <x v="2"/>
    <x v="2"/>
  </r>
  <r>
    <x v="3"/>
    <x v="3"/>
  </r>
  <r>
    <x v="0"/>
    <x v="0"/>
  </r>
  <r>
    <x v="0"/>
    <x v="0"/>
  </r>
  <r>
    <x v="1"/>
    <x v="1"/>
  </r>
  <r>
    <x v="0"/>
    <x v="3"/>
  </r>
  <r>
    <x v="1"/>
    <x v="1"/>
  </r>
  <r>
    <x v="0"/>
    <x v="0"/>
  </r>
  <r>
    <x v="2"/>
    <x v="2"/>
  </r>
  <r>
    <x v="1"/>
    <x v="1"/>
  </r>
  <r>
    <x v="1"/>
    <x v="1"/>
  </r>
  <r>
    <x v="0"/>
    <x v="0"/>
  </r>
  <r>
    <x v="0"/>
    <x v="0"/>
  </r>
  <r>
    <x v="0"/>
    <x v="0"/>
  </r>
  <r>
    <x v="2"/>
    <x v="2"/>
  </r>
  <r>
    <x v="1"/>
    <x v="1"/>
  </r>
  <r>
    <x v="1"/>
    <x v="1"/>
  </r>
  <r>
    <x v="1"/>
    <x v="1"/>
  </r>
  <r>
    <x v="0"/>
    <x v="0"/>
  </r>
  <r>
    <x v="3"/>
    <x v="3"/>
  </r>
  <r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</r>
  <r>
    <x v="1"/>
    <x v="1"/>
  </r>
  <r>
    <x v="1"/>
    <x v="1"/>
  </r>
  <r>
    <x v="2"/>
    <x v="0"/>
  </r>
  <r>
    <x v="2"/>
    <x v="2"/>
  </r>
  <r>
    <x v="3"/>
    <x v="2"/>
  </r>
  <r>
    <x v="3"/>
    <x v="2"/>
  </r>
  <r>
    <x v="2"/>
    <x v="3"/>
  </r>
  <r>
    <x v="3"/>
    <x v="2"/>
  </r>
  <r>
    <x v="3"/>
    <x v="2"/>
  </r>
  <r>
    <x v="2"/>
    <x v="0"/>
  </r>
  <r>
    <x v="3"/>
    <x v="2"/>
  </r>
  <r>
    <x v="2"/>
    <x v="0"/>
  </r>
  <r>
    <x v="3"/>
    <x v="2"/>
  </r>
  <r>
    <x v="3"/>
    <x v="0"/>
  </r>
  <r>
    <x v="3"/>
    <x v="2"/>
  </r>
  <r>
    <x v="2"/>
    <x v="0"/>
  </r>
  <r>
    <x v="2"/>
    <x v="2"/>
  </r>
  <r>
    <x v="1"/>
    <x v="1"/>
  </r>
  <r>
    <x v="0"/>
    <x v="3"/>
  </r>
  <r>
    <x v="2"/>
    <x v="0"/>
  </r>
  <r>
    <x v="0"/>
    <x v="3"/>
  </r>
  <r>
    <x v="1"/>
    <x v="1"/>
  </r>
  <r>
    <x v="1"/>
    <x v="1"/>
  </r>
  <r>
    <x v="3"/>
    <x v="2"/>
  </r>
  <r>
    <x v="3"/>
    <x v="2"/>
  </r>
  <r>
    <x v="2"/>
    <x v="0"/>
  </r>
  <r>
    <x v="2"/>
    <x v="0"/>
  </r>
  <r>
    <x v="2"/>
    <x v="0"/>
  </r>
  <r>
    <x v="3"/>
    <x v="2"/>
  </r>
  <r>
    <x v="0"/>
    <x v="0"/>
  </r>
  <r>
    <x v="0"/>
    <x v="0"/>
  </r>
  <r>
    <x v="2"/>
    <x v="0"/>
  </r>
  <r>
    <x v="0"/>
    <x v="3"/>
  </r>
  <r>
    <x v="2"/>
    <x v="0"/>
  </r>
  <r>
    <x v="2"/>
    <x v="0"/>
  </r>
  <r>
    <x v="1"/>
    <x v="1"/>
  </r>
  <r>
    <x v="0"/>
    <x v="3"/>
  </r>
  <r>
    <x v="2"/>
    <x v="3"/>
  </r>
  <r>
    <x v="0"/>
    <x v="3"/>
  </r>
  <r>
    <x v="2"/>
    <x v="3"/>
  </r>
  <r>
    <x v="2"/>
    <x v="0"/>
  </r>
  <r>
    <x v="0"/>
    <x v="3"/>
  </r>
  <r>
    <x v="3"/>
    <x v="2"/>
  </r>
  <r>
    <x v="3"/>
    <x v="2"/>
  </r>
  <r>
    <x v="0"/>
    <x v="3"/>
  </r>
  <r>
    <x v="3"/>
    <x v="0"/>
  </r>
  <r>
    <x v="2"/>
    <x v="2"/>
  </r>
  <r>
    <x v="0"/>
    <x v="3"/>
  </r>
  <r>
    <x v="0"/>
    <x v="3"/>
  </r>
  <r>
    <x v="0"/>
    <x v="3"/>
  </r>
  <r>
    <x v="2"/>
    <x v="0"/>
  </r>
  <r>
    <x v="2"/>
    <x v="0"/>
  </r>
  <r>
    <x v="1"/>
    <x v="1"/>
  </r>
  <r>
    <x v="3"/>
    <x v="2"/>
  </r>
  <r>
    <x v="3"/>
    <x v="2"/>
  </r>
  <r>
    <x v="1"/>
    <x v="1"/>
  </r>
  <r>
    <x v="3"/>
    <x v="2"/>
  </r>
  <r>
    <x v="1"/>
    <x v="1"/>
  </r>
  <r>
    <x v="0"/>
    <x v="3"/>
  </r>
  <r>
    <x v="0"/>
    <x v="3"/>
  </r>
  <r>
    <x v="1"/>
    <x v="1"/>
  </r>
  <r>
    <x v="3"/>
    <x v="2"/>
  </r>
  <r>
    <x v="3"/>
    <x v="2"/>
  </r>
  <r>
    <x v="1"/>
    <x v="1"/>
  </r>
  <r>
    <x v="2"/>
    <x v="0"/>
  </r>
  <r>
    <x v="2"/>
    <x v="0"/>
  </r>
  <r>
    <x v="0"/>
    <x v="0"/>
  </r>
  <r>
    <x v="0"/>
    <x v="3"/>
  </r>
  <r>
    <x v="2"/>
    <x v="0"/>
  </r>
  <r>
    <x v="0"/>
    <x v="3"/>
  </r>
  <r>
    <x v="0"/>
    <x v="3"/>
  </r>
  <r>
    <x v="0"/>
    <x v="0"/>
  </r>
  <r>
    <x v="2"/>
    <x v="0"/>
  </r>
  <r>
    <x v="3"/>
    <x v="2"/>
  </r>
  <r>
    <x v="2"/>
    <x v="0"/>
  </r>
  <r>
    <x v="0"/>
    <x v="0"/>
  </r>
  <r>
    <x v="0"/>
    <x v="3"/>
  </r>
  <r>
    <x v="1"/>
    <x v="1"/>
  </r>
  <r>
    <x v="1"/>
    <x v="1"/>
  </r>
  <r>
    <x v="0"/>
    <x v="3"/>
  </r>
  <r>
    <x v="0"/>
    <x v="0"/>
  </r>
  <r>
    <x v="1"/>
    <x v="1"/>
  </r>
  <r>
    <x v="2"/>
    <x v="0"/>
  </r>
  <r>
    <x v="1"/>
    <x v="1"/>
  </r>
  <r>
    <x v="1"/>
    <x v="1"/>
  </r>
  <r>
    <x v="2"/>
    <x v="0"/>
  </r>
  <r>
    <x v="2"/>
    <x v="0"/>
  </r>
  <r>
    <x v="0"/>
    <x v="3"/>
  </r>
  <r>
    <x v="0"/>
    <x v="3"/>
  </r>
  <r>
    <x v="3"/>
    <x v="2"/>
  </r>
  <r>
    <x v="2"/>
    <x v="0"/>
  </r>
  <r>
    <x v="1"/>
    <x v="1"/>
  </r>
  <r>
    <x v="0"/>
    <x v="3"/>
  </r>
  <r>
    <x v="0"/>
    <x v="3"/>
  </r>
  <r>
    <x v="3"/>
    <x v="2"/>
  </r>
  <r>
    <x v="0"/>
    <x v="3"/>
  </r>
  <r>
    <x v="3"/>
    <x v="2"/>
  </r>
  <r>
    <x v="1"/>
    <x v="1"/>
  </r>
  <r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x v="0"/>
  </r>
  <r>
    <x v="1"/>
    <x v="1"/>
  </r>
  <r>
    <x v="2"/>
    <x v="2"/>
  </r>
  <r>
    <x v="2"/>
    <x v="2"/>
  </r>
  <r>
    <x v="1"/>
    <x v="1"/>
  </r>
  <r>
    <x v="3"/>
    <x v="3"/>
  </r>
  <r>
    <x v="1"/>
    <x v="1"/>
  </r>
  <r>
    <x v="3"/>
    <x v="3"/>
  </r>
  <r>
    <x v="1"/>
    <x v="3"/>
  </r>
  <r>
    <x v="0"/>
    <x v="0"/>
  </r>
  <r>
    <x v="3"/>
    <x v="3"/>
  </r>
  <r>
    <x v="3"/>
    <x v="3"/>
  </r>
  <r>
    <x v="3"/>
    <x v="3"/>
  </r>
  <r>
    <x v="1"/>
    <x v="3"/>
  </r>
  <r>
    <x v="1"/>
    <x v="1"/>
  </r>
  <r>
    <x v="2"/>
    <x v="2"/>
  </r>
  <r>
    <x v="1"/>
    <x v="1"/>
  </r>
  <r>
    <x v="1"/>
    <x v="1"/>
  </r>
  <r>
    <x v="0"/>
    <x v="0"/>
  </r>
  <r>
    <x v="0"/>
    <x v="1"/>
  </r>
  <r>
    <x v="3"/>
    <x v="3"/>
  </r>
  <r>
    <x v="2"/>
    <x v="2"/>
  </r>
  <r>
    <x v="1"/>
    <x v="1"/>
  </r>
  <r>
    <x v="0"/>
    <x v="0"/>
  </r>
  <r>
    <x v="0"/>
    <x v="1"/>
  </r>
  <r>
    <x v="2"/>
    <x v="2"/>
  </r>
  <r>
    <x v="1"/>
    <x v="1"/>
  </r>
  <r>
    <x v="2"/>
    <x v="2"/>
  </r>
  <r>
    <x v="2"/>
    <x v="2"/>
  </r>
  <r>
    <x v="0"/>
    <x v="0"/>
  </r>
  <r>
    <x v="1"/>
    <x v="1"/>
  </r>
  <r>
    <x v="3"/>
    <x v="3"/>
  </r>
  <r>
    <x v="0"/>
    <x v="0"/>
  </r>
  <r>
    <x v="1"/>
    <x v="1"/>
  </r>
  <r>
    <x v="2"/>
    <x v="2"/>
  </r>
  <r>
    <x v="0"/>
    <x v="0"/>
  </r>
  <r>
    <x v="3"/>
    <x v="3"/>
  </r>
  <r>
    <x v="0"/>
    <x v="0"/>
  </r>
  <r>
    <x v="2"/>
    <x v="2"/>
  </r>
  <r>
    <x v="0"/>
    <x v="0"/>
  </r>
  <r>
    <x v="1"/>
    <x v="3"/>
  </r>
  <r>
    <x v="1"/>
    <x v="1"/>
  </r>
  <r>
    <x v="1"/>
    <x v="3"/>
  </r>
  <r>
    <x v="1"/>
    <x v="3"/>
  </r>
  <r>
    <x v="3"/>
    <x v="3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2"/>
    <x v="2"/>
  </r>
  <r>
    <x v="2"/>
    <x v="0"/>
  </r>
  <r>
    <x v="2"/>
    <x v="2"/>
  </r>
  <r>
    <x v="0"/>
    <x v="1"/>
  </r>
  <r>
    <x v="0"/>
    <x v="0"/>
  </r>
  <r>
    <x v="2"/>
    <x v="2"/>
  </r>
  <r>
    <x v="3"/>
    <x v="0"/>
  </r>
  <r>
    <x v="3"/>
    <x v="3"/>
  </r>
  <r>
    <x v="2"/>
    <x v="2"/>
  </r>
  <r>
    <x v="2"/>
    <x v="2"/>
  </r>
  <r>
    <x v="2"/>
    <x v="2"/>
  </r>
  <r>
    <x v="3"/>
    <x v="1"/>
  </r>
  <r>
    <x v="2"/>
    <x v="2"/>
  </r>
  <r>
    <x v="0"/>
    <x v="0"/>
  </r>
  <r>
    <x v="1"/>
    <x v="1"/>
  </r>
  <r>
    <x v="3"/>
    <x v="3"/>
  </r>
  <r>
    <x v="0"/>
    <x v="3"/>
  </r>
  <r>
    <x v="0"/>
    <x v="0"/>
  </r>
  <r>
    <x v="2"/>
    <x v="2"/>
  </r>
  <r>
    <x v="3"/>
    <x v="3"/>
  </r>
  <r>
    <x v="3"/>
    <x v="3"/>
  </r>
  <r>
    <x v="0"/>
    <x v="0"/>
  </r>
  <r>
    <x v="3"/>
    <x v="0"/>
  </r>
  <r>
    <x v="0"/>
    <x v="0"/>
  </r>
  <r>
    <x v="3"/>
    <x v="3"/>
  </r>
  <r>
    <x v="0"/>
    <x v="0"/>
  </r>
  <r>
    <x v="0"/>
    <x v="0"/>
  </r>
  <r>
    <x v="3"/>
    <x v="3"/>
  </r>
  <r>
    <x v="2"/>
    <x v="2"/>
  </r>
  <r>
    <x v="3"/>
    <x v="1"/>
  </r>
  <r>
    <x v="1"/>
    <x v="1"/>
  </r>
  <r>
    <x v="0"/>
    <x v="0"/>
  </r>
  <r>
    <x v="2"/>
    <x v="2"/>
  </r>
  <r>
    <x v="0"/>
    <x v="0"/>
  </r>
  <r>
    <x v="2"/>
    <x v="2"/>
  </r>
  <r>
    <x v="1"/>
    <x v="1"/>
  </r>
  <r>
    <x v="1"/>
    <x v="1"/>
  </r>
  <r>
    <x v="2"/>
    <x v="2"/>
  </r>
  <r>
    <x v="1"/>
    <x v="1"/>
  </r>
  <r>
    <x v="3"/>
    <x v="3"/>
  </r>
  <r>
    <x v="3"/>
    <x v="3"/>
  </r>
  <r>
    <x v="2"/>
    <x v="2"/>
  </r>
  <r>
    <x v="2"/>
    <x v="2"/>
  </r>
  <r>
    <x v="3"/>
    <x v="3"/>
  </r>
  <r>
    <x v="3"/>
    <x v="3"/>
  </r>
  <r>
    <x v="1"/>
    <x v="1"/>
  </r>
  <r>
    <x v="2"/>
    <x v="2"/>
  </r>
  <r>
    <x v="2"/>
    <x v="2"/>
  </r>
  <r>
    <x v="0"/>
    <x v="0"/>
  </r>
  <r>
    <x v="0"/>
    <x v="0"/>
  </r>
  <r>
    <x v="1"/>
    <x v="1"/>
  </r>
  <r>
    <x v="0"/>
    <x v="0"/>
  </r>
  <r>
    <x v="3"/>
    <x v="0"/>
  </r>
  <r>
    <x v="0"/>
    <x v="0"/>
  </r>
  <r>
    <x v="2"/>
    <x v="2"/>
  </r>
  <r>
    <x v="3"/>
    <x v="1"/>
  </r>
  <r>
    <x v="1"/>
    <x v="1"/>
  </r>
  <r>
    <x v="0"/>
    <x v="0"/>
  </r>
  <r>
    <x v="3"/>
    <x v="3"/>
  </r>
  <r>
    <x v="0"/>
    <x v="0"/>
  </r>
  <r>
    <x v="2"/>
    <x v="2"/>
  </r>
  <r>
    <x v="0"/>
    <x v="0"/>
  </r>
  <r>
    <x v="0"/>
    <x v="0"/>
  </r>
  <r>
    <x v="1"/>
    <x v="1"/>
  </r>
  <r>
    <x v="2"/>
    <x v="2"/>
  </r>
  <r>
    <x v="0"/>
    <x v="0"/>
  </r>
  <r>
    <x v="2"/>
    <x v="2"/>
  </r>
  <r>
    <x v="2"/>
    <x v="2"/>
  </r>
  <r>
    <x v="3"/>
    <x v="3"/>
  </r>
  <r>
    <x v="2"/>
    <x v="2"/>
  </r>
  <r>
    <x v="0"/>
    <x v="0"/>
  </r>
  <r>
    <x v="2"/>
    <x v="2"/>
  </r>
  <r>
    <x v="1"/>
    <x v="1"/>
  </r>
  <r>
    <x v="1"/>
    <x v="1"/>
  </r>
  <r>
    <x v="2"/>
    <x v="2"/>
  </r>
  <r>
    <x v="1"/>
    <x v="3"/>
  </r>
  <r>
    <x v="3"/>
    <x v="3"/>
  </r>
  <r>
    <x v="2"/>
    <x v="2"/>
  </r>
  <r>
    <x v="1"/>
    <x v="1"/>
  </r>
  <r>
    <x v="2"/>
    <x v="2"/>
  </r>
  <r>
    <x v="2"/>
    <x v="2"/>
  </r>
  <r>
    <x v="0"/>
    <x v="0"/>
  </r>
  <r>
    <x v="0"/>
    <x v="0"/>
  </r>
  <r>
    <x v="2"/>
    <x v="2"/>
  </r>
  <r>
    <x v="2"/>
    <x v="2"/>
  </r>
  <r>
    <x v="3"/>
    <x v="3"/>
  </r>
  <r>
    <x v="3"/>
    <x v="3"/>
  </r>
  <r>
    <x v="2"/>
    <x v="2"/>
  </r>
  <r>
    <x v="0"/>
    <x v="0"/>
  </r>
  <r>
    <x v="3"/>
    <x v="3"/>
  </r>
  <r>
    <x v="1"/>
    <x v="1"/>
  </r>
  <r>
    <x v="1"/>
    <x v="1"/>
  </r>
  <r>
    <x v="3"/>
    <x v="3"/>
  </r>
  <r>
    <x v="2"/>
    <x v="2"/>
  </r>
  <r>
    <x v="3"/>
    <x v="3"/>
  </r>
  <r>
    <x v="1"/>
    <x v="3"/>
  </r>
  <r>
    <x v="1"/>
    <x v="1"/>
  </r>
  <r>
    <x v="0"/>
    <x v="0"/>
  </r>
  <r>
    <x v="1"/>
    <x v="1"/>
  </r>
  <r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A0A70-A7B6-BF49-8555-1CE54AB3F53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M11:R17" firstHeaderRow="1" firstDataRow="2" firstDataCol="1"/>
  <pivotFields count="2">
    <pivotField axis="axisCol" showAll="0">
      <items count="5">
        <item x="1"/>
        <item x="2"/>
        <item x="3"/>
        <item x="0"/>
        <item t="default"/>
      </items>
    </pivotField>
    <pivotField axis="axisRow" dataField="1" showAll="0">
      <items count="5">
        <item x="1"/>
        <item x="2"/>
        <item x="3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Richesse" fld="1" showDataAs="percentOfRow" baseField="0" baseItem="0" numFmtId="10"/>
  </dataFields>
  <formats count="8">
    <format dxfId="12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1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0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9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8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7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6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5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37936-0864-FE40-9937-CB85FD7C192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M11:R17" firstHeaderRow="1" firstDataRow="2" firstDataCol="1"/>
  <pivotFields count="2">
    <pivotField axis="axisCol" showAll="0">
      <items count="5">
        <item x="1"/>
        <item x="3"/>
        <item x="2"/>
        <item x="0"/>
        <item t="default"/>
      </items>
    </pivotField>
    <pivotField axis="axisRow" dataField="1"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ichesse" fld="1" subtotal="count" showDataAs="percentOfRow" baseField="0" baseItem="0" numFmtId="10"/>
  </dataFields>
  <formats count="3">
    <format dxfId="4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3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2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A6DC2-C598-814C-9BCE-AB5165D3FFF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Q10:V16" firstHeaderRow="1" firstDataRow="2" firstDataCol="1"/>
  <pivotFields count="2">
    <pivotField axis="axisCol" showAll="0">
      <items count="6">
        <item x="2"/>
        <item x="0"/>
        <item x="3"/>
        <item x="1"/>
        <item x="4"/>
        <item t="default"/>
      </items>
    </pivotField>
    <pivotField axis="axisRow" dataField="1" showAll="0">
      <items count="6">
        <item x="2"/>
        <item x="0"/>
        <item x="3"/>
        <item x="1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Répartition de l'erreur" fld="1" subtotal="count" showDataAs="percentOfRow" baseField="0" baseItem="0" numFmtId="10"/>
  </dataFields>
  <formats count="11">
    <format dxfId="23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2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1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20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9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18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17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16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15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4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13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770E-E965-5C48-8147-0540DFF1F9D7}">
  <dimension ref="A7:H18"/>
  <sheetViews>
    <sheetView tabSelected="1" workbookViewId="0">
      <selection activeCell="A7" sqref="A7:H18"/>
    </sheetView>
  </sheetViews>
  <sheetFormatPr baseColWidth="10" defaultRowHeight="16" x14ac:dyDescent="0.2"/>
  <sheetData>
    <row r="7" spans="1:8" x14ac:dyDescent="0.2">
      <c r="A7" s="14" t="s">
        <v>103</v>
      </c>
      <c r="B7" s="14"/>
      <c r="C7" s="14"/>
      <c r="D7" s="14"/>
      <c r="E7" s="14"/>
      <c r="F7" s="14"/>
      <c r="G7" s="14"/>
      <c r="H7" s="14"/>
    </row>
    <row r="8" spans="1:8" x14ac:dyDescent="0.2">
      <c r="A8" s="14"/>
      <c r="B8" s="14"/>
      <c r="C8" s="14"/>
      <c r="D8" s="14"/>
      <c r="E8" s="14"/>
      <c r="F8" s="14"/>
      <c r="G8" s="14"/>
      <c r="H8" s="14"/>
    </row>
    <row r="9" spans="1:8" x14ac:dyDescent="0.2">
      <c r="A9" s="14"/>
      <c r="B9" s="14"/>
      <c r="C9" s="14"/>
      <c r="D9" s="14"/>
      <c r="E9" s="14"/>
      <c r="F9" s="14"/>
      <c r="G9" s="14"/>
      <c r="H9" s="14"/>
    </row>
    <row r="10" spans="1:8" x14ac:dyDescent="0.2">
      <c r="A10" s="14"/>
      <c r="B10" s="14"/>
      <c r="C10" s="14"/>
      <c r="D10" s="14"/>
      <c r="E10" s="14"/>
      <c r="F10" s="14"/>
      <c r="G10" s="14"/>
      <c r="H10" s="14"/>
    </row>
    <row r="11" spans="1:8" x14ac:dyDescent="0.2">
      <c r="A11" s="14"/>
      <c r="B11" s="14"/>
      <c r="C11" s="14"/>
      <c r="D11" s="14"/>
      <c r="E11" s="14"/>
      <c r="F11" s="14"/>
      <c r="G11" s="14"/>
      <c r="H11" s="14"/>
    </row>
    <row r="12" spans="1:8" x14ac:dyDescent="0.2">
      <c r="A12" s="14"/>
      <c r="B12" s="14"/>
      <c r="C12" s="14"/>
      <c r="D12" s="14"/>
      <c r="E12" s="14"/>
      <c r="F12" s="14"/>
      <c r="G12" s="14"/>
      <c r="H12" s="14"/>
    </row>
    <row r="13" spans="1:8" x14ac:dyDescent="0.2">
      <c r="A13" s="14"/>
      <c r="B13" s="14"/>
      <c r="C13" s="14"/>
      <c r="D13" s="14"/>
      <c r="E13" s="14"/>
      <c r="F13" s="14"/>
      <c r="G13" s="14"/>
      <c r="H13" s="14"/>
    </row>
    <row r="14" spans="1:8" x14ac:dyDescent="0.2">
      <c r="A14" s="14"/>
      <c r="B14" s="14"/>
      <c r="C14" s="14"/>
      <c r="D14" s="14"/>
      <c r="E14" s="14"/>
      <c r="F14" s="14"/>
      <c r="G14" s="14"/>
      <c r="H14" s="14"/>
    </row>
    <row r="15" spans="1:8" x14ac:dyDescent="0.2">
      <c r="A15" s="14"/>
      <c r="B15" s="14"/>
      <c r="C15" s="14"/>
      <c r="D15" s="14"/>
      <c r="E15" s="14"/>
      <c r="F15" s="14"/>
      <c r="G15" s="14"/>
      <c r="H15" s="14"/>
    </row>
    <row r="16" spans="1:8" x14ac:dyDescent="0.2">
      <c r="A16" s="14"/>
      <c r="B16" s="14"/>
      <c r="C16" s="14"/>
      <c r="D16" s="14"/>
      <c r="E16" s="14"/>
      <c r="F16" s="14"/>
      <c r="G16" s="14"/>
      <c r="H16" s="14"/>
    </row>
    <row r="17" spans="1:8" x14ac:dyDescent="0.2">
      <c r="A17" s="14"/>
      <c r="B17" s="14"/>
      <c r="C17" s="14"/>
      <c r="D17" s="14"/>
      <c r="E17" s="14"/>
      <c r="F17" s="14"/>
      <c r="G17" s="14"/>
      <c r="H17" s="14"/>
    </row>
    <row r="18" spans="1:8" x14ac:dyDescent="0.2">
      <c r="A18" s="14"/>
      <c r="B18" s="14"/>
      <c r="C18" s="14"/>
      <c r="D18" s="14"/>
      <c r="E18" s="14"/>
      <c r="F18" s="14"/>
      <c r="G18" s="14"/>
      <c r="H18" s="14"/>
    </row>
  </sheetData>
  <mergeCells count="1">
    <mergeCell ref="A7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72CD-BC78-BC43-B705-B30D712134B6}">
  <dimension ref="A1:R101"/>
  <sheetViews>
    <sheetView zoomScale="75" workbookViewId="0">
      <selection activeCell="N13" sqref="N13:R16"/>
    </sheetView>
  </sheetViews>
  <sheetFormatPr baseColWidth="10" defaultRowHeight="16" x14ac:dyDescent="0.2"/>
  <cols>
    <col min="13" max="13" width="14.83203125" bestFit="1" customWidth="1"/>
    <col min="14" max="14" width="16" bestFit="1" customWidth="1"/>
    <col min="15" max="16" width="8" bestFit="1" customWidth="1"/>
    <col min="17" max="17" width="9" bestFit="1" customWidth="1"/>
    <col min="18" max="18" width="10.5" bestFit="1" customWidth="1"/>
    <col min="19" max="19" width="6.1640625" bestFit="1" customWidth="1"/>
    <col min="20" max="20" width="5.1640625" bestFit="1" customWidth="1"/>
    <col min="21" max="21" width="10.5" bestFit="1" customWidth="1"/>
  </cols>
  <sheetData>
    <row r="1" spans="1:18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3" t="s">
        <v>5</v>
      </c>
      <c r="H1" s="3" t="s">
        <v>6</v>
      </c>
      <c r="I1" t="s">
        <v>7</v>
      </c>
      <c r="J1" t="s">
        <v>92</v>
      </c>
      <c r="K1" t="s">
        <v>93</v>
      </c>
    </row>
    <row r="2" spans="1:18" x14ac:dyDescent="0.2">
      <c r="A2" s="4">
        <v>0.65</v>
      </c>
      <c r="B2" s="5">
        <v>0</v>
      </c>
      <c r="C2" t="s">
        <v>8</v>
      </c>
      <c r="D2" t="s">
        <v>9</v>
      </c>
      <c r="E2" t="s">
        <v>10</v>
      </c>
      <c r="G2" s="3" t="s">
        <v>35</v>
      </c>
      <c r="H2" s="6">
        <v>0.95</v>
      </c>
      <c r="I2">
        <f>_xlfn.XLOOKUP(G2,$C$2:$C$35,$A$2:$A$35)</f>
        <v>0.95</v>
      </c>
      <c r="J2">
        <f>H2-I2</f>
        <v>0</v>
      </c>
      <c r="K2">
        <f>IF(J2&lt;0,(J2*-1),J2)</f>
        <v>0</v>
      </c>
    </row>
    <row r="3" spans="1:18" x14ac:dyDescent="0.2">
      <c r="A3" s="4">
        <v>0.65</v>
      </c>
      <c r="B3">
        <v>5</v>
      </c>
      <c r="C3" t="s">
        <v>12</v>
      </c>
      <c r="D3" t="s">
        <v>13</v>
      </c>
      <c r="E3" t="s">
        <v>14</v>
      </c>
      <c r="G3" s="3" t="s">
        <v>16</v>
      </c>
      <c r="H3" s="6">
        <v>0.65</v>
      </c>
      <c r="I3">
        <f t="shared" ref="I3:I66" si="0">_xlfn.XLOOKUP(G3,$C$2:$C$35,$A$2:$A$35)</f>
        <v>0.65</v>
      </c>
      <c r="J3">
        <f t="shared" ref="J3:J66" si="1">H3-I3</f>
        <v>0</v>
      </c>
      <c r="K3">
        <f t="shared" ref="K3:K66" si="2">IF(J3&lt;0,(J3*-1),J3)</f>
        <v>0</v>
      </c>
    </row>
    <row r="4" spans="1:18" x14ac:dyDescent="0.2">
      <c r="A4" s="4">
        <v>0.65</v>
      </c>
      <c r="B4">
        <v>10</v>
      </c>
      <c r="C4" t="s">
        <v>16</v>
      </c>
      <c r="D4" t="s">
        <v>17</v>
      </c>
      <c r="E4" t="s">
        <v>18</v>
      </c>
      <c r="G4" s="3" t="s">
        <v>8</v>
      </c>
      <c r="H4" s="6">
        <v>0.65</v>
      </c>
      <c r="I4">
        <f t="shared" si="0"/>
        <v>0.65</v>
      </c>
      <c r="J4">
        <f t="shared" si="1"/>
        <v>0</v>
      </c>
      <c r="K4">
        <f t="shared" si="2"/>
        <v>0</v>
      </c>
    </row>
    <row r="5" spans="1:18" x14ac:dyDescent="0.2">
      <c r="A5" s="4">
        <v>0.65</v>
      </c>
      <c r="B5">
        <v>15</v>
      </c>
      <c r="C5" t="s">
        <v>19</v>
      </c>
      <c r="D5" t="s">
        <v>20</v>
      </c>
      <c r="E5" t="s">
        <v>21</v>
      </c>
      <c r="G5" s="3" t="s">
        <v>15</v>
      </c>
      <c r="H5" s="6">
        <v>0.75</v>
      </c>
      <c r="I5">
        <f t="shared" si="0"/>
        <v>0.75</v>
      </c>
      <c r="J5">
        <f t="shared" si="1"/>
        <v>0</v>
      </c>
      <c r="K5">
        <f t="shared" si="2"/>
        <v>0</v>
      </c>
    </row>
    <row r="6" spans="1:18" x14ac:dyDescent="0.2">
      <c r="A6" s="4">
        <v>0.65</v>
      </c>
      <c r="B6">
        <v>17.5</v>
      </c>
      <c r="C6" t="s">
        <v>23</v>
      </c>
      <c r="D6" s="4" t="s">
        <v>24</v>
      </c>
      <c r="E6" s="4" t="s">
        <v>25</v>
      </c>
      <c r="G6" s="3" t="s">
        <v>42</v>
      </c>
      <c r="H6" s="6">
        <v>0.75</v>
      </c>
      <c r="I6">
        <f t="shared" si="0"/>
        <v>0.75</v>
      </c>
      <c r="J6">
        <f t="shared" si="1"/>
        <v>0</v>
      </c>
      <c r="K6">
        <f t="shared" si="2"/>
        <v>0</v>
      </c>
    </row>
    <row r="7" spans="1:18" x14ac:dyDescent="0.2">
      <c r="A7" s="4">
        <v>0.65</v>
      </c>
      <c r="B7">
        <v>20</v>
      </c>
      <c r="C7" t="s">
        <v>27</v>
      </c>
      <c r="D7" t="s">
        <v>28</v>
      </c>
      <c r="E7" t="s">
        <v>29</v>
      </c>
      <c r="G7" s="3" t="s">
        <v>8</v>
      </c>
      <c r="H7" s="6">
        <v>0.65</v>
      </c>
      <c r="I7">
        <f t="shared" si="0"/>
        <v>0.65</v>
      </c>
      <c r="J7">
        <f t="shared" si="1"/>
        <v>0</v>
      </c>
      <c r="K7">
        <f t="shared" si="2"/>
        <v>0</v>
      </c>
      <c r="M7" t="s">
        <v>94</v>
      </c>
    </row>
    <row r="8" spans="1:18" x14ac:dyDescent="0.2">
      <c r="A8" s="4">
        <v>0.65</v>
      </c>
      <c r="B8" s="4">
        <v>22.5</v>
      </c>
      <c r="C8" t="s">
        <v>30</v>
      </c>
      <c r="D8" t="s">
        <v>31</v>
      </c>
      <c r="E8" t="s">
        <v>32</v>
      </c>
      <c r="G8" s="3" t="s">
        <v>72</v>
      </c>
      <c r="H8" s="6">
        <v>0.85</v>
      </c>
      <c r="I8">
        <f t="shared" si="0"/>
        <v>0.85</v>
      </c>
      <c r="J8">
        <f t="shared" si="1"/>
        <v>0</v>
      </c>
      <c r="K8">
        <f t="shared" si="2"/>
        <v>0</v>
      </c>
      <c r="M8">
        <f>AVERAGE(K2:K101)/0.3</f>
        <v>2.9999999999999992E-2</v>
      </c>
    </row>
    <row r="9" spans="1:18" x14ac:dyDescent="0.2">
      <c r="G9" s="3" t="s">
        <v>42</v>
      </c>
      <c r="H9" s="6">
        <v>0.75</v>
      </c>
      <c r="I9">
        <f t="shared" si="0"/>
        <v>0.75</v>
      </c>
      <c r="J9">
        <f t="shared" si="1"/>
        <v>0</v>
      </c>
      <c r="K9">
        <f t="shared" si="2"/>
        <v>0</v>
      </c>
    </row>
    <row r="10" spans="1:18" x14ac:dyDescent="0.2">
      <c r="G10" s="3" t="s">
        <v>72</v>
      </c>
      <c r="H10" s="6">
        <v>0.95</v>
      </c>
      <c r="I10">
        <f t="shared" si="0"/>
        <v>0.85</v>
      </c>
      <c r="J10">
        <f t="shared" si="1"/>
        <v>9.9999999999999978E-2</v>
      </c>
      <c r="K10">
        <f t="shared" si="2"/>
        <v>9.9999999999999978E-2</v>
      </c>
    </row>
    <row r="11" spans="1:18" x14ac:dyDescent="0.2">
      <c r="A11" s="4">
        <v>0.75</v>
      </c>
      <c r="B11" s="5">
        <v>0</v>
      </c>
      <c r="C11" t="s">
        <v>15</v>
      </c>
      <c r="D11" t="s">
        <v>36</v>
      </c>
      <c r="E11" t="s">
        <v>37</v>
      </c>
      <c r="G11" s="3" t="s">
        <v>53</v>
      </c>
      <c r="H11" s="6">
        <v>0.75</v>
      </c>
      <c r="I11">
        <f t="shared" si="0"/>
        <v>0.75</v>
      </c>
      <c r="J11">
        <f t="shared" si="1"/>
        <v>0</v>
      </c>
      <c r="K11">
        <f t="shared" si="2"/>
        <v>0</v>
      </c>
      <c r="M11" s="7" t="s">
        <v>96</v>
      </c>
      <c r="N11" s="7" t="s">
        <v>98</v>
      </c>
    </row>
    <row r="12" spans="1:18" x14ac:dyDescent="0.2">
      <c r="A12" s="4">
        <v>0.75</v>
      </c>
      <c r="B12">
        <v>5</v>
      </c>
      <c r="C12" t="s">
        <v>39</v>
      </c>
      <c r="D12" t="s">
        <v>40</v>
      </c>
      <c r="E12" t="s">
        <v>41</v>
      </c>
      <c r="G12" s="3" t="s">
        <v>22</v>
      </c>
      <c r="H12" s="6">
        <v>0.95</v>
      </c>
      <c r="I12">
        <f t="shared" si="0"/>
        <v>0.95</v>
      </c>
      <c r="J12">
        <f t="shared" si="1"/>
        <v>0</v>
      </c>
      <c r="K12">
        <f t="shared" si="2"/>
        <v>0</v>
      </c>
      <c r="M12" s="7" t="s">
        <v>97</v>
      </c>
      <c r="N12">
        <v>0.65</v>
      </c>
      <c r="O12">
        <v>0.75</v>
      </c>
      <c r="P12">
        <v>0.85</v>
      </c>
      <c r="Q12">
        <v>0.95</v>
      </c>
      <c r="R12" t="s">
        <v>95</v>
      </c>
    </row>
    <row r="13" spans="1:18" x14ac:dyDescent="0.2">
      <c r="A13" s="4">
        <v>0.75</v>
      </c>
      <c r="B13">
        <v>10</v>
      </c>
      <c r="C13" t="s">
        <v>42</v>
      </c>
      <c r="D13" t="s">
        <v>43</v>
      </c>
      <c r="E13" t="s">
        <v>44</v>
      </c>
      <c r="G13" s="3" t="s">
        <v>8</v>
      </c>
      <c r="H13" s="6">
        <v>0.65</v>
      </c>
      <c r="I13">
        <f t="shared" si="0"/>
        <v>0.65</v>
      </c>
      <c r="J13">
        <f t="shared" si="1"/>
        <v>0</v>
      </c>
      <c r="K13">
        <f t="shared" si="2"/>
        <v>0</v>
      </c>
      <c r="M13" s="8">
        <v>0.65</v>
      </c>
      <c r="N13" s="11">
        <v>1</v>
      </c>
      <c r="O13" s="9">
        <v>0</v>
      </c>
      <c r="P13" s="9">
        <v>0</v>
      </c>
      <c r="Q13" s="9">
        <v>0</v>
      </c>
      <c r="R13" s="9">
        <v>1</v>
      </c>
    </row>
    <row r="14" spans="1:18" x14ac:dyDescent="0.2">
      <c r="A14" s="4">
        <v>0.75</v>
      </c>
      <c r="B14">
        <v>15</v>
      </c>
      <c r="C14" t="s">
        <v>45</v>
      </c>
      <c r="D14" t="s">
        <v>46</v>
      </c>
      <c r="E14" t="s">
        <v>47</v>
      </c>
      <c r="G14" s="3" t="s">
        <v>8</v>
      </c>
      <c r="H14" s="6">
        <v>0.65</v>
      </c>
      <c r="I14">
        <f t="shared" si="0"/>
        <v>0.65</v>
      </c>
      <c r="J14">
        <f t="shared" si="1"/>
        <v>0</v>
      </c>
      <c r="K14">
        <f t="shared" si="2"/>
        <v>0</v>
      </c>
      <c r="M14" s="8">
        <v>0.75</v>
      </c>
      <c r="N14" s="10">
        <v>7.6923076923076927E-2</v>
      </c>
      <c r="O14" s="11">
        <v>0.88461538461538458</v>
      </c>
      <c r="P14" s="10">
        <v>3.8461538461538464E-2</v>
      </c>
      <c r="Q14" s="9">
        <v>0</v>
      </c>
      <c r="R14" s="9">
        <v>1</v>
      </c>
    </row>
    <row r="15" spans="1:18" x14ac:dyDescent="0.2">
      <c r="A15" s="4">
        <v>0.75</v>
      </c>
      <c r="B15">
        <v>17.5</v>
      </c>
      <c r="C15" t="s">
        <v>49</v>
      </c>
      <c r="D15" t="s">
        <v>50</v>
      </c>
      <c r="E15" t="s">
        <v>51</v>
      </c>
      <c r="G15" s="3" t="s">
        <v>53</v>
      </c>
      <c r="H15" s="6">
        <v>0.75</v>
      </c>
      <c r="I15">
        <f t="shared" si="0"/>
        <v>0.75</v>
      </c>
      <c r="J15">
        <f t="shared" si="1"/>
        <v>0</v>
      </c>
      <c r="K15">
        <f t="shared" si="2"/>
        <v>0</v>
      </c>
      <c r="M15" s="8">
        <v>0.85</v>
      </c>
      <c r="N15" s="9">
        <v>0</v>
      </c>
      <c r="O15" s="10">
        <v>8.695652173913046E-2</v>
      </c>
      <c r="P15" s="11">
        <v>0.73913043478260876</v>
      </c>
      <c r="Q15" s="10">
        <v>0.17391304347826092</v>
      </c>
      <c r="R15" s="9">
        <v>1</v>
      </c>
    </row>
    <row r="16" spans="1:18" x14ac:dyDescent="0.2">
      <c r="A16" s="4">
        <v>0.75</v>
      </c>
      <c r="B16">
        <v>20</v>
      </c>
      <c r="C16" t="s">
        <v>53</v>
      </c>
      <c r="D16" t="s">
        <v>54</v>
      </c>
      <c r="E16" t="s">
        <v>55</v>
      </c>
      <c r="G16" s="3" t="s">
        <v>22</v>
      </c>
      <c r="H16" s="6">
        <v>0.95</v>
      </c>
      <c r="I16">
        <f t="shared" si="0"/>
        <v>0.95</v>
      </c>
      <c r="J16">
        <f t="shared" si="1"/>
        <v>0</v>
      </c>
      <c r="K16">
        <f t="shared" si="2"/>
        <v>0</v>
      </c>
      <c r="M16" s="8">
        <v>0.95</v>
      </c>
      <c r="N16" s="9">
        <v>0</v>
      </c>
      <c r="O16" s="9">
        <v>0</v>
      </c>
      <c r="P16" s="9">
        <v>0</v>
      </c>
      <c r="Q16" s="11">
        <v>1</v>
      </c>
      <c r="R16" s="9">
        <v>1</v>
      </c>
    </row>
    <row r="17" spans="1:18" x14ac:dyDescent="0.2">
      <c r="A17" s="4">
        <v>0.75</v>
      </c>
      <c r="B17">
        <v>22.5</v>
      </c>
      <c r="C17" t="s">
        <v>56</v>
      </c>
      <c r="D17" t="s">
        <v>57</v>
      </c>
      <c r="E17" t="s">
        <v>58</v>
      </c>
      <c r="G17" s="3" t="s">
        <v>27</v>
      </c>
      <c r="H17" s="6">
        <v>0.65</v>
      </c>
      <c r="I17">
        <f t="shared" si="0"/>
        <v>0.65</v>
      </c>
      <c r="J17">
        <f t="shared" si="1"/>
        <v>0</v>
      </c>
      <c r="K17">
        <f t="shared" si="2"/>
        <v>0</v>
      </c>
      <c r="M17" s="8" t="s">
        <v>95</v>
      </c>
      <c r="N17" s="9">
        <v>0.25824873096446704</v>
      </c>
      <c r="O17" s="9">
        <v>0.24048223350253811</v>
      </c>
      <c r="P17" s="9">
        <v>0.19289340101522842</v>
      </c>
      <c r="Q17" s="9">
        <v>0.30837563451776645</v>
      </c>
      <c r="R17" s="9">
        <v>1</v>
      </c>
    </row>
    <row r="18" spans="1:18" x14ac:dyDescent="0.2">
      <c r="G18" s="3" t="s">
        <v>64</v>
      </c>
      <c r="H18" s="6">
        <v>0.85</v>
      </c>
      <c r="I18">
        <f t="shared" si="0"/>
        <v>0.85</v>
      </c>
      <c r="J18">
        <f t="shared" si="1"/>
        <v>0</v>
      </c>
      <c r="K18">
        <f t="shared" si="2"/>
        <v>0</v>
      </c>
    </row>
    <row r="19" spans="1:18" x14ac:dyDescent="0.2">
      <c r="G19" s="3" t="s">
        <v>64</v>
      </c>
      <c r="H19" s="6">
        <v>0.85</v>
      </c>
      <c r="I19">
        <f t="shared" si="0"/>
        <v>0.85</v>
      </c>
      <c r="J19">
        <f t="shared" si="1"/>
        <v>0</v>
      </c>
      <c r="K19">
        <f t="shared" si="2"/>
        <v>0</v>
      </c>
    </row>
    <row r="20" spans="1:18" x14ac:dyDescent="0.2">
      <c r="A20" s="4">
        <v>0.85</v>
      </c>
      <c r="B20" s="5">
        <v>0</v>
      </c>
      <c r="C20" t="s">
        <v>52</v>
      </c>
      <c r="D20" t="s">
        <v>59</v>
      </c>
      <c r="E20" t="s">
        <v>60</v>
      </c>
      <c r="G20" s="3" t="s">
        <v>53</v>
      </c>
      <c r="H20" s="6">
        <v>0.75</v>
      </c>
      <c r="I20">
        <f t="shared" si="0"/>
        <v>0.75</v>
      </c>
      <c r="J20">
        <f t="shared" si="1"/>
        <v>0</v>
      </c>
      <c r="K20">
        <f t="shared" si="2"/>
        <v>0</v>
      </c>
    </row>
    <row r="21" spans="1:18" x14ac:dyDescent="0.2">
      <c r="A21" s="4">
        <v>0.85</v>
      </c>
      <c r="B21">
        <v>5</v>
      </c>
      <c r="C21" t="s">
        <v>61</v>
      </c>
      <c r="D21" t="s">
        <v>62</v>
      </c>
      <c r="E21" t="s">
        <v>63</v>
      </c>
      <c r="G21" s="3" t="s">
        <v>8</v>
      </c>
      <c r="H21" s="6">
        <v>0.65</v>
      </c>
      <c r="I21">
        <f t="shared" si="0"/>
        <v>0.65</v>
      </c>
      <c r="J21">
        <f t="shared" si="1"/>
        <v>0</v>
      </c>
      <c r="K21">
        <f t="shared" si="2"/>
        <v>0</v>
      </c>
    </row>
    <row r="22" spans="1:18" x14ac:dyDescent="0.2">
      <c r="A22" s="4">
        <v>0.85</v>
      </c>
      <c r="B22">
        <v>10</v>
      </c>
      <c r="C22" t="s">
        <v>64</v>
      </c>
      <c r="D22" t="s">
        <v>65</v>
      </c>
      <c r="E22" t="s">
        <v>66</v>
      </c>
      <c r="G22" s="3" t="s">
        <v>42</v>
      </c>
      <c r="H22" s="6">
        <v>0.75</v>
      </c>
      <c r="I22">
        <f t="shared" si="0"/>
        <v>0.75</v>
      </c>
      <c r="J22">
        <f t="shared" si="1"/>
        <v>0</v>
      </c>
      <c r="K22">
        <f t="shared" si="2"/>
        <v>0</v>
      </c>
    </row>
    <row r="23" spans="1:18" x14ac:dyDescent="0.2">
      <c r="A23" s="4">
        <v>0.85</v>
      </c>
      <c r="B23">
        <v>15</v>
      </c>
      <c r="C23" t="s">
        <v>67</v>
      </c>
      <c r="D23" t="s">
        <v>68</v>
      </c>
      <c r="E23" t="s">
        <v>69</v>
      </c>
      <c r="G23" s="3" t="s">
        <v>64</v>
      </c>
      <c r="H23" s="6">
        <v>0.85</v>
      </c>
      <c r="I23">
        <f t="shared" si="0"/>
        <v>0.85</v>
      </c>
      <c r="J23">
        <f t="shared" si="1"/>
        <v>0</v>
      </c>
      <c r="K23">
        <f t="shared" si="2"/>
        <v>0</v>
      </c>
    </row>
    <row r="24" spans="1:18" x14ac:dyDescent="0.2">
      <c r="A24" s="4">
        <v>0.85</v>
      </c>
      <c r="B24">
        <v>17.5</v>
      </c>
      <c r="C24" t="s">
        <v>34</v>
      </c>
      <c r="D24" t="s">
        <v>70</v>
      </c>
      <c r="E24" t="s">
        <v>71</v>
      </c>
      <c r="G24" s="3" t="s">
        <v>42</v>
      </c>
      <c r="H24" s="6">
        <v>0.75</v>
      </c>
      <c r="I24">
        <f t="shared" si="0"/>
        <v>0.75</v>
      </c>
      <c r="J24">
        <f t="shared" si="1"/>
        <v>0</v>
      </c>
      <c r="K24">
        <f t="shared" si="2"/>
        <v>0</v>
      </c>
    </row>
    <row r="25" spans="1:18" x14ac:dyDescent="0.2">
      <c r="A25" s="4">
        <v>0.85</v>
      </c>
      <c r="B25">
        <v>20</v>
      </c>
      <c r="C25" t="s">
        <v>72</v>
      </c>
      <c r="D25" t="s">
        <v>73</v>
      </c>
      <c r="E25" t="s">
        <v>74</v>
      </c>
      <c r="G25" s="3" t="s">
        <v>72</v>
      </c>
      <c r="H25" s="6">
        <v>0.75</v>
      </c>
      <c r="I25">
        <f t="shared" si="0"/>
        <v>0.85</v>
      </c>
      <c r="J25">
        <f t="shared" si="1"/>
        <v>-9.9999999999999978E-2</v>
      </c>
      <c r="K25">
        <f t="shared" si="2"/>
        <v>9.9999999999999978E-2</v>
      </c>
    </row>
    <row r="26" spans="1:18" x14ac:dyDescent="0.2">
      <c r="A26" s="4">
        <v>0.85</v>
      </c>
      <c r="B26">
        <v>22.5</v>
      </c>
      <c r="C26" t="s">
        <v>26</v>
      </c>
      <c r="D26" t="s">
        <v>75</v>
      </c>
      <c r="E26" t="s">
        <v>76</v>
      </c>
      <c r="G26" s="3" t="s">
        <v>16</v>
      </c>
      <c r="H26" s="6">
        <v>0.65</v>
      </c>
      <c r="I26">
        <f t="shared" si="0"/>
        <v>0.65</v>
      </c>
      <c r="J26">
        <f t="shared" si="1"/>
        <v>0</v>
      </c>
      <c r="K26">
        <f t="shared" si="2"/>
        <v>0</v>
      </c>
    </row>
    <row r="27" spans="1:18" x14ac:dyDescent="0.2">
      <c r="G27" s="3" t="s">
        <v>35</v>
      </c>
      <c r="H27" s="6">
        <v>0.95</v>
      </c>
      <c r="I27">
        <f t="shared" si="0"/>
        <v>0.95</v>
      </c>
      <c r="J27">
        <f t="shared" si="1"/>
        <v>0</v>
      </c>
      <c r="K27">
        <f t="shared" si="2"/>
        <v>0</v>
      </c>
    </row>
    <row r="28" spans="1:18" x14ac:dyDescent="0.2">
      <c r="G28" s="3" t="s">
        <v>64</v>
      </c>
      <c r="H28" s="6">
        <v>0.85</v>
      </c>
      <c r="I28">
        <f t="shared" si="0"/>
        <v>0.85</v>
      </c>
      <c r="J28">
        <f t="shared" si="1"/>
        <v>0</v>
      </c>
      <c r="K28">
        <f t="shared" si="2"/>
        <v>0</v>
      </c>
    </row>
    <row r="29" spans="1:18" x14ac:dyDescent="0.2">
      <c r="A29" s="4">
        <v>0.95</v>
      </c>
      <c r="B29" s="5">
        <v>0</v>
      </c>
      <c r="C29" t="s">
        <v>48</v>
      </c>
      <c r="D29" t="s">
        <v>77</v>
      </c>
      <c r="E29" t="s">
        <v>78</v>
      </c>
      <c r="G29" s="3" t="s">
        <v>64</v>
      </c>
      <c r="H29" s="6">
        <v>0.85</v>
      </c>
      <c r="I29">
        <f t="shared" si="0"/>
        <v>0.85</v>
      </c>
      <c r="J29">
        <f t="shared" si="1"/>
        <v>0</v>
      </c>
      <c r="K29">
        <f t="shared" si="2"/>
        <v>0</v>
      </c>
    </row>
    <row r="30" spans="1:18" x14ac:dyDescent="0.2">
      <c r="A30" s="4">
        <v>0.95</v>
      </c>
      <c r="B30">
        <v>5</v>
      </c>
      <c r="C30" t="s">
        <v>79</v>
      </c>
      <c r="D30" t="s">
        <v>80</v>
      </c>
      <c r="E30" t="s">
        <v>81</v>
      </c>
      <c r="G30" s="3" t="s">
        <v>27</v>
      </c>
      <c r="H30" s="6">
        <v>0.65</v>
      </c>
      <c r="I30">
        <f t="shared" si="0"/>
        <v>0.65</v>
      </c>
      <c r="J30">
        <f t="shared" si="1"/>
        <v>0</v>
      </c>
      <c r="K30">
        <f t="shared" si="2"/>
        <v>0</v>
      </c>
    </row>
    <row r="31" spans="1:18" x14ac:dyDescent="0.2">
      <c r="A31" s="4">
        <v>0.95</v>
      </c>
      <c r="B31">
        <v>10</v>
      </c>
      <c r="C31" t="s">
        <v>35</v>
      </c>
      <c r="D31" t="s">
        <v>82</v>
      </c>
      <c r="E31" t="s">
        <v>83</v>
      </c>
      <c r="G31" s="3" t="s">
        <v>8</v>
      </c>
      <c r="H31" s="6">
        <v>0.65</v>
      </c>
      <c r="I31">
        <f t="shared" si="0"/>
        <v>0.65</v>
      </c>
      <c r="J31">
        <f t="shared" si="1"/>
        <v>0</v>
      </c>
      <c r="K31">
        <f t="shared" si="2"/>
        <v>0</v>
      </c>
    </row>
    <row r="32" spans="1:18" x14ac:dyDescent="0.2">
      <c r="A32" s="4">
        <v>0.95</v>
      </c>
      <c r="B32">
        <v>15</v>
      </c>
      <c r="C32" t="s">
        <v>33</v>
      </c>
      <c r="D32" t="s">
        <v>84</v>
      </c>
      <c r="E32" t="s">
        <v>85</v>
      </c>
      <c r="G32" s="3" t="s">
        <v>8</v>
      </c>
      <c r="H32" s="6">
        <v>0.65</v>
      </c>
      <c r="I32">
        <f t="shared" si="0"/>
        <v>0.65</v>
      </c>
      <c r="J32">
        <f t="shared" si="1"/>
        <v>0</v>
      </c>
      <c r="K32">
        <f t="shared" si="2"/>
        <v>0</v>
      </c>
    </row>
    <row r="33" spans="1:11" x14ac:dyDescent="0.2">
      <c r="A33" s="4">
        <v>0.95</v>
      </c>
      <c r="B33">
        <v>17.5</v>
      </c>
      <c r="C33" t="s">
        <v>11</v>
      </c>
      <c r="D33" t="s">
        <v>86</v>
      </c>
      <c r="E33" t="s">
        <v>87</v>
      </c>
      <c r="G33" s="3" t="s">
        <v>53</v>
      </c>
      <c r="H33" s="6">
        <v>0.75</v>
      </c>
      <c r="I33">
        <f t="shared" si="0"/>
        <v>0.75</v>
      </c>
      <c r="J33">
        <f t="shared" si="1"/>
        <v>0</v>
      </c>
      <c r="K33">
        <f t="shared" si="2"/>
        <v>0</v>
      </c>
    </row>
    <row r="34" spans="1:11" x14ac:dyDescent="0.2">
      <c r="A34" s="4">
        <v>0.95</v>
      </c>
      <c r="B34">
        <v>20</v>
      </c>
      <c r="C34" t="s">
        <v>22</v>
      </c>
      <c r="D34" t="s">
        <v>88</v>
      </c>
      <c r="E34" t="s">
        <v>89</v>
      </c>
      <c r="G34" s="3" t="s">
        <v>72</v>
      </c>
      <c r="H34" s="6">
        <v>0.75</v>
      </c>
      <c r="I34">
        <f t="shared" si="0"/>
        <v>0.85</v>
      </c>
      <c r="J34">
        <f t="shared" si="1"/>
        <v>-9.9999999999999978E-2</v>
      </c>
      <c r="K34">
        <f t="shared" si="2"/>
        <v>9.9999999999999978E-2</v>
      </c>
    </row>
    <row r="35" spans="1:11" x14ac:dyDescent="0.2">
      <c r="A35" s="4">
        <v>0.95</v>
      </c>
      <c r="B35">
        <v>22.5</v>
      </c>
      <c r="C35" t="s">
        <v>38</v>
      </c>
      <c r="D35" t="s">
        <v>90</v>
      </c>
      <c r="E35" t="s">
        <v>91</v>
      </c>
      <c r="G35" s="3" t="s">
        <v>8</v>
      </c>
      <c r="H35" s="6">
        <v>0.65</v>
      </c>
      <c r="I35">
        <f t="shared" si="0"/>
        <v>0.65</v>
      </c>
      <c r="J35">
        <f t="shared" si="1"/>
        <v>0</v>
      </c>
      <c r="K35">
        <f t="shared" si="2"/>
        <v>0</v>
      </c>
    </row>
    <row r="36" spans="1:11" x14ac:dyDescent="0.2">
      <c r="G36" s="3" t="s">
        <v>42</v>
      </c>
      <c r="H36" s="6">
        <v>0.85</v>
      </c>
      <c r="I36">
        <f t="shared" si="0"/>
        <v>0.75</v>
      </c>
      <c r="J36">
        <f t="shared" si="1"/>
        <v>9.9999999999999978E-2</v>
      </c>
      <c r="K36">
        <f t="shared" si="2"/>
        <v>9.9999999999999978E-2</v>
      </c>
    </row>
    <row r="37" spans="1:11" x14ac:dyDescent="0.2">
      <c r="G37" s="3" t="s">
        <v>35</v>
      </c>
      <c r="H37" s="6">
        <v>0.95</v>
      </c>
      <c r="I37">
        <f t="shared" si="0"/>
        <v>0.95</v>
      </c>
      <c r="J37">
        <f t="shared" si="1"/>
        <v>0</v>
      </c>
      <c r="K37">
        <f t="shared" si="2"/>
        <v>0</v>
      </c>
    </row>
    <row r="38" spans="1:11" x14ac:dyDescent="0.2">
      <c r="G38" s="3" t="s">
        <v>42</v>
      </c>
      <c r="H38" s="6">
        <v>0.75</v>
      </c>
      <c r="I38">
        <f t="shared" si="0"/>
        <v>0.75</v>
      </c>
      <c r="J38">
        <f t="shared" si="1"/>
        <v>0</v>
      </c>
      <c r="K38">
        <f t="shared" si="2"/>
        <v>0</v>
      </c>
    </row>
    <row r="39" spans="1:11" x14ac:dyDescent="0.2">
      <c r="G39" s="3" t="s">
        <v>8</v>
      </c>
      <c r="H39" s="6">
        <v>0.65</v>
      </c>
      <c r="I39">
        <f t="shared" si="0"/>
        <v>0.65</v>
      </c>
      <c r="J39">
        <f t="shared" si="1"/>
        <v>0</v>
      </c>
      <c r="K39">
        <f t="shared" si="2"/>
        <v>0</v>
      </c>
    </row>
    <row r="40" spans="1:11" x14ac:dyDescent="0.2">
      <c r="G40" s="3" t="s">
        <v>64</v>
      </c>
      <c r="H40" s="6">
        <v>0.95</v>
      </c>
      <c r="I40">
        <f t="shared" si="0"/>
        <v>0.85</v>
      </c>
      <c r="J40">
        <f t="shared" si="1"/>
        <v>9.9999999999999978E-2</v>
      </c>
      <c r="K40">
        <f t="shared" si="2"/>
        <v>9.9999999999999978E-2</v>
      </c>
    </row>
    <row r="41" spans="1:11" x14ac:dyDescent="0.2">
      <c r="G41" s="3" t="s">
        <v>53</v>
      </c>
      <c r="H41" s="6">
        <v>0.75</v>
      </c>
      <c r="I41">
        <f t="shared" si="0"/>
        <v>0.75</v>
      </c>
      <c r="J41">
        <f t="shared" si="1"/>
        <v>0</v>
      </c>
      <c r="K41">
        <f t="shared" si="2"/>
        <v>0</v>
      </c>
    </row>
    <row r="42" spans="1:11" x14ac:dyDescent="0.2">
      <c r="G42" s="3" t="s">
        <v>8</v>
      </c>
      <c r="H42" s="6">
        <v>0.65</v>
      </c>
      <c r="I42">
        <f t="shared" si="0"/>
        <v>0.65</v>
      </c>
      <c r="J42">
        <f t="shared" si="1"/>
        <v>0</v>
      </c>
      <c r="K42">
        <f t="shared" si="2"/>
        <v>0</v>
      </c>
    </row>
    <row r="43" spans="1:11" x14ac:dyDescent="0.2">
      <c r="G43" s="3" t="s">
        <v>53</v>
      </c>
      <c r="H43" s="6">
        <v>0.75</v>
      </c>
      <c r="I43">
        <f t="shared" si="0"/>
        <v>0.75</v>
      </c>
      <c r="J43">
        <f t="shared" si="1"/>
        <v>0</v>
      </c>
      <c r="K43">
        <f t="shared" si="2"/>
        <v>0</v>
      </c>
    </row>
    <row r="44" spans="1:11" x14ac:dyDescent="0.2">
      <c r="G44" s="3" t="s">
        <v>22</v>
      </c>
      <c r="H44" s="6">
        <v>0.95</v>
      </c>
      <c r="I44">
        <f t="shared" si="0"/>
        <v>0.95</v>
      </c>
      <c r="J44">
        <f t="shared" si="1"/>
        <v>0</v>
      </c>
      <c r="K44">
        <f t="shared" si="2"/>
        <v>0</v>
      </c>
    </row>
    <row r="45" spans="1:11" x14ac:dyDescent="0.2">
      <c r="G45" s="3" t="s">
        <v>22</v>
      </c>
      <c r="H45" s="6">
        <v>0.95</v>
      </c>
      <c r="I45">
        <f t="shared" si="0"/>
        <v>0.95</v>
      </c>
      <c r="J45">
        <f t="shared" si="1"/>
        <v>0</v>
      </c>
      <c r="K45">
        <f t="shared" si="2"/>
        <v>0</v>
      </c>
    </row>
    <row r="46" spans="1:11" x14ac:dyDescent="0.2">
      <c r="G46" s="3" t="s">
        <v>8</v>
      </c>
      <c r="H46" s="6">
        <v>0.65</v>
      </c>
      <c r="I46">
        <f t="shared" si="0"/>
        <v>0.65</v>
      </c>
      <c r="J46">
        <f t="shared" si="1"/>
        <v>0</v>
      </c>
      <c r="K46">
        <f t="shared" si="2"/>
        <v>0</v>
      </c>
    </row>
    <row r="47" spans="1:11" x14ac:dyDescent="0.2">
      <c r="G47" s="3" t="s">
        <v>52</v>
      </c>
      <c r="H47" s="6">
        <v>0.85</v>
      </c>
      <c r="I47">
        <f t="shared" si="0"/>
        <v>0.85</v>
      </c>
      <c r="J47">
        <f t="shared" si="1"/>
        <v>0</v>
      </c>
      <c r="K47">
        <f t="shared" si="2"/>
        <v>0</v>
      </c>
    </row>
    <row r="48" spans="1:11" x14ac:dyDescent="0.2">
      <c r="G48" s="3" t="s">
        <v>8</v>
      </c>
      <c r="H48" s="6">
        <v>0.65</v>
      </c>
      <c r="I48">
        <f t="shared" si="0"/>
        <v>0.65</v>
      </c>
      <c r="J48">
        <f t="shared" si="1"/>
        <v>0</v>
      </c>
      <c r="K48">
        <f t="shared" si="2"/>
        <v>0</v>
      </c>
    </row>
    <row r="49" spans="7:11" x14ac:dyDescent="0.2">
      <c r="G49" s="3" t="s">
        <v>72</v>
      </c>
      <c r="H49" s="6">
        <v>0.85</v>
      </c>
      <c r="I49">
        <f t="shared" si="0"/>
        <v>0.85</v>
      </c>
      <c r="J49">
        <f t="shared" si="1"/>
        <v>0</v>
      </c>
      <c r="K49">
        <f t="shared" si="2"/>
        <v>0</v>
      </c>
    </row>
    <row r="50" spans="7:11" x14ac:dyDescent="0.2">
      <c r="G50" s="3" t="s">
        <v>53</v>
      </c>
      <c r="H50" s="6">
        <v>0.65</v>
      </c>
      <c r="I50">
        <f t="shared" si="0"/>
        <v>0.75</v>
      </c>
      <c r="J50">
        <f t="shared" si="1"/>
        <v>-9.9999999999999978E-2</v>
      </c>
      <c r="K50">
        <f t="shared" si="2"/>
        <v>9.9999999999999978E-2</v>
      </c>
    </row>
    <row r="51" spans="7:11" x14ac:dyDescent="0.2">
      <c r="G51" s="3" t="s">
        <v>8</v>
      </c>
      <c r="H51" s="6">
        <v>0.65</v>
      </c>
      <c r="I51">
        <f t="shared" si="0"/>
        <v>0.65</v>
      </c>
      <c r="J51">
        <f t="shared" si="1"/>
        <v>0</v>
      </c>
      <c r="K51">
        <f t="shared" si="2"/>
        <v>0</v>
      </c>
    </row>
    <row r="52" spans="7:11" x14ac:dyDescent="0.2">
      <c r="G52" s="3" t="s">
        <v>27</v>
      </c>
      <c r="H52" s="6">
        <v>0.65</v>
      </c>
      <c r="I52">
        <f t="shared" si="0"/>
        <v>0.65</v>
      </c>
      <c r="J52">
        <f t="shared" si="1"/>
        <v>0</v>
      </c>
      <c r="K52">
        <f t="shared" si="2"/>
        <v>0</v>
      </c>
    </row>
    <row r="53" spans="7:11" x14ac:dyDescent="0.2">
      <c r="G53" s="3" t="s">
        <v>42</v>
      </c>
      <c r="H53" s="6">
        <v>0.75</v>
      </c>
      <c r="I53">
        <f t="shared" si="0"/>
        <v>0.75</v>
      </c>
      <c r="J53">
        <f t="shared" si="1"/>
        <v>0</v>
      </c>
      <c r="K53">
        <f t="shared" si="2"/>
        <v>0</v>
      </c>
    </row>
    <row r="54" spans="7:11" x14ac:dyDescent="0.2">
      <c r="G54" s="3" t="s">
        <v>64</v>
      </c>
      <c r="H54" s="6">
        <v>0.85</v>
      </c>
      <c r="I54">
        <f t="shared" si="0"/>
        <v>0.85</v>
      </c>
      <c r="J54">
        <f t="shared" si="1"/>
        <v>0</v>
      </c>
      <c r="K54">
        <f t="shared" si="2"/>
        <v>0</v>
      </c>
    </row>
    <row r="55" spans="7:11" x14ac:dyDescent="0.2">
      <c r="G55" s="3" t="s">
        <v>16</v>
      </c>
      <c r="H55" s="6">
        <v>0.65</v>
      </c>
      <c r="I55">
        <f t="shared" si="0"/>
        <v>0.65</v>
      </c>
      <c r="J55">
        <f t="shared" si="1"/>
        <v>0</v>
      </c>
      <c r="K55">
        <f t="shared" si="2"/>
        <v>0</v>
      </c>
    </row>
    <row r="56" spans="7:11" x14ac:dyDescent="0.2">
      <c r="G56" s="3" t="s">
        <v>64</v>
      </c>
      <c r="H56" s="6">
        <v>0.85</v>
      </c>
      <c r="I56">
        <f t="shared" si="0"/>
        <v>0.85</v>
      </c>
      <c r="J56">
        <f t="shared" si="1"/>
        <v>0</v>
      </c>
      <c r="K56">
        <f t="shared" si="2"/>
        <v>0</v>
      </c>
    </row>
    <row r="57" spans="7:11" x14ac:dyDescent="0.2">
      <c r="G57" s="3" t="s">
        <v>22</v>
      </c>
      <c r="H57" s="6">
        <v>0.95</v>
      </c>
      <c r="I57">
        <f t="shared" si="0"/>
        <v>0.95</v>
      </c>
      <c r="J57">
        <f t="shared" si="1"/>
        <v>0</v>
      </c>
      <c r="K57">
        <f t="shared" si="2"/>
        <v>0</v>
      </c>
    </row>
    <row r="58" spans="7:11" x14ac:dyDescent="0.2">
      <c r="G58" s="3" t="s">
        <v>52</v>
      </c>
      <c r="H58" s="6">
        <v>0.85</v>
      </c>
      <c r="I58">
        <f t="shared" si="0"/>
        <v>0.85</v>
      </c>
      <c r="J58">
        <f t="shared" si="1"/>
        <v>0</v>
      </c>
      <c r="K58">
        <f t="shared" si="2"/>
        <v>0</v>
      </c>
    </row>
    <row r="59" spans="7:11" x14ac:dyDescent="0.2">
      <c r="G59" s="3" t="s">
        <v>35</v>
      </c>
      <c r="H59" s="6">
        <v>0.95</v>
      </c>
      <c r="I59">
        <f t="shared" si="0"/>
        <v>0.95</v>
      </c>
      <c r="J59">
        <f t="shared" si="1"/>
        <v>0</v>
      </c>
      <c r="K59">
        <f t="shared" si="2"/>
        <v>0</v>
      </c>
    </row>
    <row r="60" spans="7:11" x14ac:dyDescent="0.2">
      <c r="G60" s="3" t="s">
        <v>42</v>
      </c>
      <c r="H60" s="6">
        <v>0.75</v>
      </c>
      <c r="I60">
        <f t="shared" si="0"/>
        <v>0.75</v>
      </c>
      <c r="J60">
        <f t="shared" si="1"/>
        <v>0</v>
      </c>
      <c r="K60">
        <f t="shared" si="2"/>
        <v>0</v>
      </c>
    </row>
    <row r="61" spans="7:11" x14ac:dyDescent="0.2">
      <c r="G61" s="3" t="s">
        <v>72</v>
      </c>
      <c r="H61" s="6">
        <v>0.95</v>
      </c>
      <c r="I61">
        <f t="shared" si="0"/>
        <v>0.85</v>
      </c>
      <c r="J61">
        <f t="shared" si="1"/>
        <v>9.9999999999999978E-2</v>
      </c>
      <c r="K61">
        <f t="shared" si="2"/>
        <v>9.9999999999999978E-2</v>
      </c>
    </row>
    <row r="62" spans="7:11" x14ac:dyDescent="0.2">
      <c r="G62" s="3" t="s">
        <v>42</v>
      </c>
      <c r="H62" s="6">
        <v>0.75</v>
      </c>
      <c r="I62">
        <f t="shared" si="0"/>
        <v>0.75</v>
      </c>
      <c r="J62">
        <f t="shared" si="1"/>
        <v>0</v>
      </c>
      <c r="K62">
        <f t="shared" si="2"/>
        <v>0</v>
      </c>
    </row>
    <row r="63" spans="7:11" x14ac:dyDescent="0.2">
      <c r="G63" s="3" t="s">
        <v>22</v>
      </c>
      <c r="H63" s="6">
        <v>0.95</v>
      </c>
      <c r="I63">
        <f t="shared" si="0"/>
        <v>0.95</v>
      </c>
      <c r="J63">
        <f t="shared" si="1"/>
        <v>0</v>
      </c>
      <c r="K63">
        <f t="shared" si="2"/>
        <v>0</v>
      </c>
    </row>
    <row r="64" spans="7:11" x14ac:dyDescent="0.2">
      <c r="G64" s="3" t="s">
        <v>22</v>
      </c>
      <c r="H64" s="6">
        <v>0.95</v>
      </c>
      <c r="I64">
        <f t="shared" si="0"/>
        <v>0.95</v>
      </c>
      <c r="J64">
        <f t="shared" si="1"/>
        <v>0</v>
      </c>
      <c r="K64">
        <f t="shared" si="2"/>
        <v>0</v>
      </c>
    </row>
    <row r="65" spans="7:11" x14ac:dyDescent="0.2">
      <c r="G65" s="3" t="s">
        <v>64</v>
      </c>
      <c r="H65" s="6">
        <v>0.85</v>
      </c>
      <c r="I65">
        <f t="shared" si="0"/>
        <v>0.85</v>
      </c>
      <c r="J65">
        <f t="shared" si="1"/>
        <v>0</v>
      </c>
      <c r="K65">
        <f t="shared" si="2"/>
        <v>0</v>
      </c>
    </row>
    <row r="66" spans="7:11" x14ac:dyDescent="0.2">
      <c r="G66" s="3" t="s">
        <v>15</v>
      </c>
      <c r="H66" s="6">
        <v>0.75</v>
      </c>
      <c r="I66">
        <f t="shared" si="0"/>
        <v>0.75</v>
      </c>
      <c r="J66">
        <f t="shared" si="1"/>
        <v>0</v>
      </c>
      <c r="K66">
        <f t="shared" si="2"/>
        <v>0</v>
      </c>
    </row>
    <row r="67" spans="7:11" x14ac:dyDescent="0.2">
      <c r="G67" s="3" t="s">
        <v>52</v>
      </c>
      <c r="H67" s="6">
        <v>0.85</v>
      </c>
      <c r="I67">
        <f t="shared" ref="I67:I101" si="3">_xlfn.XLOOKUP(G67,$C$2:$C$35,$A$2:$A$35)</f>
        <v>0.85</v>
      </c>
      <c r="J67">
        <f t="shared" ref="J67:J101" si="4">H67-I67</f>
        <v>0</v>
      </c>
      <c r="K67">
        <f t="shared" ref="K67:K101" si="5">IF(J67&lt;0,(J67*-1),J67)</f>
        <v>0</v>
      </c>
    </row>
    <row r="68" spans="7:11" x14ac:dyDescent="0.2">
      <c r="G68" s="3" t="s">
        <v>15</v>
      </c>
      <c r="H68" s="6">
        <v>0.75</v>
      </c>
      <c r="I68">
        <f t="shared" si="3"/>
        <v>0.75</v>
      </c>
      <c r="J68">
        <f t="shared" si="4"/>
        <v>0</v>
      </c>
      <c r="K68">
        <f t="shared" si="5"/>
        <v>0</v>
      </c>
    </row>
    <row r="69" spans="7:11" x14ac:dyDescent="0.2">
      <c r="G69" s="3" t="s">
        <v>16</v>
      </c>
      <c r="H69" s="6">
        <v>0.65</v>
      </c>
      <c r="I69">
        <f t="shared" si="3"/>
        <v>0.65</v>
      </c>
      <c r="J69">
        <f t="shared" si="4"/>
        <v>0</v>
      </c>
      <c r="K69">
        <f t="shared" si="5"/>
        <v>0</v>
      </c>
    </row>
    <row r="70" spans="7:11" x14ac:dyDescent="0.2">
      <c r="G70" s="3" t="s">
        <v>48</v>
      </c>
      <c r="H70" s="6">
        <v>0.95</v>
      </c>
      <c r="I70">
        <f t="shared" si="3"/>
        <v>0.95</v>
      </c>
      <c r="J70">
        <f t="shared" si="4"/>
        <v>0</v>
      </c>
      <c r="K70">
        <f t="shared" si="5"/>
        <v>0</v>
      </c>
    </row>
    <row r="71" spans="7:11" x14ac:dyDescent="0.2">
      <c r="G71" s="3" t="s">
        <v>42</v>
      </c>
      <c r="H71" s="6">
        <v>0.75</v>
      </c>
      <c r="I71">
        <f t="shared" si="3"/>
        <v>0.75</v>
      </c>
      <c r="J71">
        <f t="shared" si="4"/>
        <v>0</v>
      </c>
      <c r="K71">
        <f t="shared" si="5"/>
        <v>0</v>
      </c>
    </row>
    <row r="72" spans="7:11" x14ac:dyDescent="0.2">
      <c r="G72" s="3" t="s">
        <v>27</v>
      </c>
      <c r="H72" s="6">
        <v>0.65</v>
      </c>
      <c r="I72">
        <f t="shared" si="3"/>
        <v>0.65</v>
      </c>
      <c r="J72">
        <f t="shared" si="4"/>
        <v>0</v>
      </c>
      <c r="K72">
        <f t="shared" si="5"/>
        <v>0</v>
      </c>
    </row>
    <row r="73" spans="7:11" x14ac:dyDescent="0.2">
      <c r="G73" s="3" t="s">
        <v>42</v>
      </c>
      <c r="H73" s="6">
        <v>0.75</v>
      </c>
      <c r="I73">
        <f t="shared" si="3"/>
        <v>0.75</v>
      </c>
      <c r="J73">
        <f t="shared" si="4"/>
        <v>0</v>
      </c>
      <c r="K73">
        <f t="shared" si="5"/>
        <v>0</v>
      </c>
    </row>
    <row r="74" spans="7:11" x14ac:dyDescent="0.2">
      <c r="G74" s="3" t="s">
        <v>22</v>
      </c>
      <c r="H74" s="6">
        <v>0.95</v>
      </c>
      <c r="I74">
        <f t="shared" si="3"/>
        <v>0.95</v>
      </c>
      <c r="J74">
        <f t="shared" si="4"/>
        <v>0</v>
      </c>
      <c r="K74">
        <f t="shared" si="5"/>
        <v>0</v>
      </c>
    </row>
    <row r="75" spans="7:11" x14ac:dyDescent="0.2">
      <c r="G75" s="3" t="s">
        <v>64</v>
      </c>
      <c r="H75" s="6">
        <v>0.85</v>
      </c>
      <c r="I75">
        <f t="shared" si="3"/>
        <v>0.85</v>
      </c>
      <c r="J75">
        <f t="shared" si="4"/>
        <v>0</v>
      </c>
      <c r="K75">
        <f t="shared" si="5"/>
        <v>0</v>
      </c>
    </row>
    <row r="76" spans="7:11" x14ac:dyDescent="0.2">
      <c r="G76" s="3" t="s">
        <v>64</v>
      </c>
      <c r="H76" s="6">
        <v>0.85</v>
      </c>
      <c r="I76">
        <f t="shared" si="3"/>
        <v>0.85</v>
      </c>
      <c r="J76">
        <f t="shared" si="4"/>
        <v>0</v>
      </c>
      <c r="K76">
        <f t="shared" si="5"/>
        <v>0</v>
      </c>
    </row>
    <row r="77" spans="7:11" x14ac:dyDescent="0.2">
      <c r="G77" s="3" t="s">
        <v>53</v>
      </c>
      <c r="H77" s="6">
        <v>0.75</v>
      </c>
      <c r="I77">
        <f t="shared" si="3"/>
        <v>0.75</v>
      </c>
      <c r="J77">
        <f t="shared" si="4"/>
        <v>0</v>
      </c>
      <c r="K77">
        <f t="shared" si="5"/>
        <v>0</v>
      </c>
    </row>
    <row r="78" spans="7:11" x14ac:dyDescent="0.2">
      <c r="G78" s="3" t="s">
        <v>35</v>
      </c>
      <c r="H78" s="6">
        <v>0.95</v>
      </c>
      <c r="I78">
        <f t="shared" si="3"/>
        <v>0.95</v>
      </c>
      <c r="J78">
        <f t="shared" si="4"/>
        <v>0</v>
      </c>
      <c r="K78">
        <f t="shared" si="5"/>
        <v>0</v>
      </c>
    </row>
    <row r="79" spans="7:11" x14ac:dyDescent="0.2">
      <c r="G79" s="3" t="s">
        <v>53</v>
      </c>
      <c r="H79" s="6">
        <v>0.65</v>
      </c>
      <c r="I79">
        <f t="shared" si="3"/>
        <v>0.75</v>
      </c>
      <c r="J79">
        <f t="shared" si="4"/>
        <v>-9.9999999999999978E-2</v>
      </c>
      <c r="K79">
        <f t="shared" si="5"/>
        <v>9.9999999999999978E-2</v>
      </c>
    </row>
    <row r="80" spans="7:11" x14ac:dyDescent="0.2">
      <c r="G80" s="3" t="s">
        <v>22</v>
      </c>
      <c r="H80" s="6">
        <v>0.95</v>
      </c>
      <c r="I80">
        <f t="shared" si="3"/>
        <v>0.95</v>
      </c>
      <c r="J80">
        <f t="shared" si="4"/>
        <v>0</v>
      </c>
      <c r="K80">
        <f t="shared" si="5"/>
        <v>0</v>
      </c>
    </row>
    <row r="81" spans="7:11" x14ac:dyDescent="0.2">
      <c r="G81" s="3" t="s">
        <v>53</v>
      </c>
      <c r="H81" s="6">
        <v>0.75</v>
      </c>
      <c r="I81">
        <f t="shared" si="3"/>
        <v>0.75</v>
      </c>
      <c r="J81">
        <f t="shared" si="4"/>
        <v>0</v>
      </c>
      <c r="K81">
        <f t="shared" si="5"/>
        <v>0</v>
      </c>
    </row>
    <row r="82" spans="7:11" x14ac:dyDescent="0.2">
      <c r="G82" s="3" t="s">
        <v>52</v>
      </c>
      <c r="H82" s="6">
        <v>0.85</v>
      </c>
      <c r="I82">
        <f t="shared" si="3"/>
        <v>0.85</v>
      </c>
      <c r="J82">
        <f t="shared" si="4"/>
        <v>0</v>
      </c>
      <c r="K82">
        <f t="shared" si="5"/>
        <v>0</v>
      </c>
    </row>
    <row r="83" spans="7:11" x14ac:dyDescent="0.2">
      <c r="G83" s="3" t="s">
        <v>35</v>
      </c>
      <c r="H83" s="6">
        <v>0.95</v>
      </c>
      <c r="I83">
        <f t="shared" si="3"/>
        <v>0.95</v>
      </c>
      <c r="J83">
        <f t="shared" si="4"/>
        <v>0</v>
      </c>
      <c r="K83">
        <f t="shared" si="5"/>
        <v>0</v>
      </c>
    </row>
    <row r="84" spans="7:11" x14ac:dyDescent="0.2">
      <c r="G84" s="3" t="s">
        <v>22</v>
      </c>
      <c r="H84" s="6">
        <v>0.95</v>
      </c>
      <c r="I84">
        <f t="shared" si="3"/>
        <v>0.95</v>
      </c>
      <c r="J84">
        <f t="shared" si="4"/>
        <v>0</v>
      </c>
      <c r="K84">
        <f t="shared" si="5"/>
        <v>0</v>
      </c>
    </row>
    <row r="85" spans="7:11" x14ac:dyDescent="0.2">
      <c r="G85" s="3" t="s">
        <v>16</v>
      </c>
      <c r="H85" s="6">
        <v>0.65</v>
      </c>
      <c r="I85">
        <f t="shared" si="3"/>
        <v>0.65</v>
      </c>
      <c r="J85">
        <f t="shared" si="4"/>
        <v>0</v>
      </c>
      <c r="K85">
        <f t="shared" si="5"/>
        <v>0</v>
      </c>
    </row>
    <row r="86" spans="7:11" x14ac:dyDescent="0.2">
      <c r="G86" s="3" t="s">
        <v>72</v>
      </c>
      <c r="H86" s="6">
        <v>0.95</v>
      </c>
      <c r="I86">
        <f t="shared" si="3"/>
        <v>0.85</v>
      </c>
      <c r="J86">
        <f t="shared" si="4"/>
        <v>9.9999999999999978E-2</v>
      </c>
      <c r="K86">
        <f t="shared" si="5"/>
        <v>9.9999999999999978E-2</v>
      </c>
    </row>
    <row r="87" spans="7:11" x14ac:dyDescent="0.2">
      <c r="G87" s="3" t="s">
        <v>16</v>
      </c>
      <c r="H87" s="6">
        <v>0.65</v>
      </c>
      <c r="I87">
        <f t="shared" si="3"/>
        <v>0.65</v>
      </c>
      <c r="J87">
        <f t="shared" si="4"/>
        <v>0</v>
      </c>
      <c r="K87">
        <f t="shared" si="5"/>
        <v>0</v>
      </c>
    </row>
    <row r="88" spans="7:11" x14ac:dyDescent="0.2">
      <c r="G88" s="3" t="s">
        <v>22</v>
      </c>
      <c r="H88" s="6">
        <v>0.95</v>
      </c>
      <c r="I88">
        <f t="shared" si="3"/>
        <v>0.95</v>
      </c>
      <c r="J88">
        <f t="shared" si="4"/>
        <v>0</v>
      </c>
      <c r="K88">
        <f t="shared" si="5"/>
        <v>0</v>
      </c>
    </row>
    <row r="89" spans="7:11" x14ac:dyDescent="0.2">
      <c r="G89" s="3" t="s">
        <v>15</v>
      </c>
      <c r="H89" s="6">
        <v>0.75</v>
      </c>
      <c r="I89">
        <f t="shared" si="3"/>
        <v>0.75</v>
      </c>
      <c r="J89">
        <f t="shared" si="4"/>
        <v>0</v>
      </c>
      <c r="K89">
        <f t="shared" si="5"/>
        <v>0</v>
      </c>
    </row>
    <row r="90" spans="7:11" x14ac:dyDescent="0.2">
      <c r="G90" s="3" t="s">
        <v>27</v>
      </c>
      <c r="H90" s="6">
        <v>0.65</v>
      </c>
      <c r="I90">
        <f t="shared" si="3"/>
        <v>0.65</v>
      </c>
      <c r="J90">
        <f t="shared" si="4"/>
        <v>0</v>
      </c>
      <c r="K90">
        <f t="shared" si="5"/>
        <v>0</v>
      </c>
    </row>
    <row r="91" spans="7:11" x14ac:dyDescent="0.2">
      <c r="G91" s="3" t="s">
        <v>27</v>
      </c>
      <c r="H91" s="6">
        <v>0.65</v>
      </c>
      <c r="I91">
        <f t="shared" si="3"/>
        <v>0.65</v>
      </c>
      <c r="J91">
        <f t="shared" si="4"/>
        <v>0</v>
      </c>
      <c r="K91">
        <f t="shared" si="5"/>
        <v>0</v>
      </c>
    </row>
    <row r="92" spans="7:11" x14ac:dyDescent="0.2">
      <c r="G92" s="3" t="s">
        <v>48</v>
      </c>
      <c r="H92" s="6">
        <v>0.95</v>
      </c>
      <c r="I92">
        <f t="shared" si="3"/>
        <v>0.95</v>
      </c>
      <c r="J92">
        <f t="shared" si="4"/>
        <v>0</v>
      </c>
      <c r="K92">
        <f t="shared" si="5"/>
        <v>0</v>
      </c>
    </row>
    <row r="93" spans="7:11" x14ac:dyDescent="0.2">
      <c r="G93" s="3" t="s">
        <v>22</v>
      </c>
      <c r="H93" s="6">
        <v>0.95</v>
      </c>
      <c r="I93">
        <f t="shared" si="3"/>
        <v>0.95</v>
      </c>
      <c r="J93">
        <f t="shared" si="4"/>
        <v>0</v>
      </c>
      <c r="K93">
        <f t="shared" si="5"/>
        <v>0</v>
      </c>
    </row>
    <row r="94" spans="7:11" x14ac:dyDescent="0.2">
      <c r="G94" s="3" t="s">
        <v>22</v>
      </c>
      <c r="H94" s="6">
        <v>0.95</v>
      </c>
      <c r="I94">
        <f t="shared" si="3"/>
        <v>0.95</v>
      </c>
      <c r="J94">
        <f t="shared" si="4"/>
        <v>0</v>
      </c>
      <c r="K94">
        <f t="shared" si="5"/>
        <v>0</v>
      </c>
    </row>
    <row r="95" spans="7:11" x14ac:dyDescent="0.2">
      <c r="G95" s="3" t="s">
        <v>53</v>
      </c>
      <c r="H95" s="6">
        <v>0.75</v>
      </c>
      <c r="I95">
        <f t="shared" si="3"/>
        <v>0.75</v>
      </c>
      <c r="J95">
        <f t="shared" si="4"/>
        <v>0</v>
      </c>
      <c r="K95">
        <f t="shared" si="5"/>
        <v>0</v>
      </c>
    </row>
    <row r="96" spans="7:11" x14ac:dyDescent="0.2">
      <c r="G96" s="3" t="s">
        <v>8</v>
      </c>
      <c r="H96" s="6">
        <v>0.65</v>
      </c>
      <c r="I96">
        <f t="shared" si="3"/>
        <v>0.65</v>
      </c>
      <c r="J96">
        <f t="shared" si="4"/>
        <v>0</v>
      </c>
      <c r="K96">
        <f t="shared" si="5"/>
        <v>0</v>
      </c>
    </row>
    <row r="97" spans="7:11" x14ac:dyDescent="0.2">
      <c r="G97" s="3" t="s">
        <v>16</v>
      </c>
      <c r="H97" s="6">
        <v>0.65</v>
      </c>
      <c r="I97">
        <f t="shared" si="3"/>
        <v>0.65</v>
      </c>
      <c r="J97">
        <f t="shared" si="4"/>
        <v>0</v>
      </c>
      <c r="K97">
        <f t="shared" si="5"/>
        <v>0</v>
      </c>
    </row>
    <row r="98" spans="7:11" x14ac:dyDescent="0.2">
      <c r="G98" s="3" t="s">
        <v>27</v>
      </c>
      <c r="H98" s="6">
        <v>0.65</v>
      </c>
      <c r="I98">
        <f t="shared" si="3"/>
        <v>0.65</v>
      </c>
      <c r="J98">
        <f t="shared" si="4"/>
        <v>0</v>
      </c>
      <c r="K98">
        <f t="shared" si="5"/>
        <v>0</v>
      </c>
    </row>
    <row r="99" spans="7:11" x14ac:dyDescent="0.2">
      <c r="G99" s="3" t="s">
        <v>35</v>
      </c>
      <c r="H99" s="6">
        <v>0.95</v>
      </c>
      <c r="I99">
        <f t="shared" si="3"/>
        <v>0.95</v>
      </c>
      <c r="J99">
        <f t="shared" si="4"/>
        <v>0</v>
      </c>
      <c r="K99">
        <f t="shared" si="5"/>
        <v>0</v>
      </c>
    </row>
    <row r="100" spans="7:11" x14ac:dyDescent="0.2">
      <c r="G100" s="3" t="s">
        <v>52</v>
      </c>
      <c r="H100" s="6">
        <v>0.85</v>
      </c>
      <c r="I100">
        <f t="shared" si="3"/>
        <v>0.85</v>
      </c>
      <c r="J100">
        <f t="shared" si="4"/>
        <v>0</v>
      </c>
      <c r="K100">
        <f t="shared" si="5"/>
        <v>0</v>
      </c>
    </row>
    <row r="101" spans="7:11" x14ac:dyDescent="0.2">
      <c r="G101" s="3" t="s">
        <v>8</v>
      </c>
      <c r="H101" s="6">
        <v>0.65</v>
      </c>
      <c r="I101">
        <f t="shared" si="3"/>
        <v>0.65</v>
      </c>
      <c r="J101">
        <f t="shared" si="4"/>
        <v>0</v>
      </c>
      <c r="K101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052B-D058-2E49-974F-886314F7ED57}">
  <dimension ref="A1:R101"/>
  <sheetViews>
    <sheetView topLeftCell="B60" zoomScale="75" workbookViewId="0">
      <selection activeCell="N13" sqref="N13:R16"/>
    </sheetView>
  </sheetViews>
  <sheetFormatPr baseColWidth="10" defaultRowHeight="16" x14ac:dyDescent="0.2"/>
  <cols>
    <col min="13" max="13" width="17" bestFit="1" customWidth="1"/>
    <col min="14" max="14" width="17.33203125" bestFit="1" customWidth="1"/>
    <col min="15" max="17" width="8" bestFit="1" customWidth="1"/>
    <col min="18" max="18" width="11" bestFit="1" customWidth="1"/>
    <col min="19" max="19" width="6.1640625" bestFit="1" customWidth="1"/>
    <col min="20" max="20" width="5.1640625" bestFit="1" customWidth="1"/>
    <col min="21" max="21" width="10.5" bestFit="1" customWidth="1"/>
  </cols>
  <sheetData>
    <row r="1" spans="1:18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3" t="s">
        <v>5</v>
      </c>
      <c r="H1" s="3" t="s">
        <v>6</v>
      </c>
      <c r="I1" t="s">
        <v>7</v>
      </c>
      <c r="J1" t="s">
        <v>92</v>
      </c>
      <c r="K1" t="s">
        <v>93</v>
      </c>
    </row>
    <row r="2" spans="1:18" x14ac:dyDescent="0.2">
      <c r="A2" s="4">
        <v>0.65</v>
      </c>
      <c r="B2" s="5">
        <v>0</v>
      </c>
      <c r="C2" t="s">
        <v>8</v>
      </c>
      <c r="D2" t="s">
        <v>9</v>
      </c>
      <c r="E2" t="s">
        <v>10</v>
      </c>
      <c r="G2" s="3" t="s">
        <v>72</v>
      </c>
      <c r="H2" s="6">
        <v>0.95</v>
      </c>
      <c r="I2">
        <f>_xlfn.XLOOKUP(G2,$C$2:$C$35,$A$2:$A$35)</f>
        <v>0.85</v>
      </c>
      <c r="J2">
        <f>H2-I2</f>
        <v>9.9999999999999978E-2</v>
      </c>
      <c r="K2">
        <f>IF(J2&lt;0,(J2*-1),J2)</f>
        <v>9.9999999999999978E-2</v>
      </c>
    </row>
    <row r="3" spans="1:18" x14ac:dyDescent="0.2">
      <c r="A3" s="4">
        <v>0.65</v>
      </c>
      <c r="B3">
        <v>5</v>
      </c>
      <c r="C3" t="s">
        <v>12</v>
      </c>
      <c r="D3" t="s">
        <v>13</v>
      </c>
      <c r="E3" t="s">
        <v>14</v>
      </c>
      <c r="G3" s="3" t="s">
        <v>27</v>
      </c>
      <c r="H3" s="6">
        <v>0.65</v>
      </c>
      <c r="I3">
        <f t="shared" ref="I3:I66" si="0">_xlfn.XLOOKUP(G3,$C$2:$C$35,$A$2:$A$35)</f>
        <v>0.65</v>
      </c>
      <c r="J3">
        <f t="shared" ref="J3:J66" si="1">H3-I3</f>
        <v>0</v>
      </c>
      <c r="K3">
        <f t="shared" ref="K3:K66" si="2">IF(J3&lt;0,(J3*-1),J3)</f>
        <v>0</v>
      </c>
    </row>
    <row r="4" spans="1:18" x14ac:dyDescent="0.2">
      <c r="A4" s="4">
        <v>0.65</v>
      </c>
      <c r="B4">
        <v>10</v>
      </c>
      <c r="C4" t="s">
        <v>16</v>
      </c>
      <c r="D4" t="s">
        <v>17</v>
      </c>
      <c r="E4" t="s">
        <v>18</v>
      </c>
      <c r="G4" s="3" t="s">
        <v>8</v>
      </c>
      <c r="H4" s="6">
        <v>0.65</v>
      </c>
      <c r="I4">
        <f t="shared" si="0"/>
        <v>0.65</v>
      </c>
      <c r="J4">
        <f t="shared" si="1"/>
        <v>0</v>
      </c>
      <c r="K4">
        <f t="shared" si="2"/>
        <v>0</v>
      </c>
    </row>
    <row r="5" spans="1:18" x14ac:dyDescent="0.2">
      <c r="A5" s="4">
        <v>0.65</v>
      </c>
      <c r="B5">
        <v>15</v>
      </c>
      <c r="C5" t="s">
        <v>19</v>
      </c>
      <c r="D5" t="s">
        <v>20</v>
      </c>
      <c r="E5" t="s">
        <v>21</v>
      </c>
      <c r="G5" s="3" t="s">
        <v>67</v>
      </c>
      <c r="H5" s="6">
        <v>0.85</v>
      </c>
      <c r="I5">
        <f t="shared" si="0"/>
        <v>0.85</v>
      </c>
      <c r="J5">
        <f t="shared" si="1"/>
        <v>0</v>
      </c>
      <c r="K5">
        <f t="shared" si="2"/>
        <v>0</v>
      </c>
    </row>
    <row r="6" spans="1:18" x14ac:dyDescent="0.2">
      <c r="A6" s="4">
        <v>0.65</v>
      </c>
      <c r="B6">
        <v>17.5</v>
      </c>
      <c r="C6" t="s">
        <v>23</v>
      </c>
      <c r="D6" s="4" t="s">
        <v>24</v>
      </c>
      <c r="E6" s="4" t="s">
        <v>25</v>
      </c>
      <c r="G6" s="3" t="s">
        <v>42</v>
      </c>
      <c r="H6" s="6">
        <v>0.85</v>
      </c>
      <c r="I6">
        <f t="shared" si="0"/>
        <v>0.75</v>
      </c>
      <c r="J6">
        <f t="shared" si="1"/>
        <v>9.9999999999999978E-2</v>
      </c>
      <c r="K6">
        <f t="shared" si="2"/>
        <v>9.9999999999999978E-2</v>
      </c>
    </row>
    <row r="7" spans="1:18" x14ac:dyDescent="0.2">
      <c r="A7" s="4">
        <v>0.65</v>
      </c>
      <c r="B7">
        <v>20</v>
      </c>
      <c r="C7" t="s">
        <v>27</v>
      </c>
      <c r="D7" t="s">
        <v>28</v>
      </c>
      <c r="E7" t="s">
        <v>29</v>
      </c>
      <c r="G7" s="3" t="s">
        <v>53</v>
      </c>
      <c r="H7" s="6">
        <v>0.75</v>
      </c>
      <c r="I7">
        <f t="shared" si="0"/>
        <v>0.75</v>
      </c>
      <c r="J7">
        <f t="shared" si="1"/>
        <v>0</v>
      </c>
      <c r="K7">
        <f t="shared" si="2"/>
        <v>0</v>
      </c>
      <c r="M7" t="s">
        <v>94</v>
      </c>
    </row>
    <row r="8" spans="1:18" x14ac:dyDescent="0.2">
      <c r="A8" s="4">
        <v>0.65</v>
      </c>
      <c r="B8" s="4">
        <v>22.5</v>
      </c>
      <c r="C8" t="s">
        <v>30</v>
      </c>
      <c r="D8" t="s">
        <v>31</v>
      </c>
      <c r="E8" t="s">
        <v>32</v>
      </c>
      <c r="G8" s="3" t="s">
        <v>15</v>
      </c>
      <c r="H8" s="6">
        <v>0.75</v>
      </c>
      <c r="I8">
        <f t="shared" si="0"/>
        <v>0.75</v>
      </c>
      <c r="J8">
        <f t="shared" si="1"/>
        <v>0</v>
      </c>
      <c r="K8">
        <f t="shared" si="2"/>
        <v>0</v>
      </c>
      <c r="M8" s="12">
        <f>AVERAGE(K2:K101)/0.3</f>
        <v>0.05</v>
      </c>
    </row>
    <row r="9" spans="1:18" x14ac:dyDescent="0.2">
      <c r="G9" s="3" t="s">
        <v>35</v>
      </c>
      <c r="H9" s="6">
        <v>0.85</v>
      </c>
      <c r="I9">
        <f t="shared" si="0"/>
        <v>0.95</v>
      </c>
      <c r="J9">
        <f t="shared" si="1"/>
        <v>-9.9999999999999978E-2</v>
      </c>
      <c r="K9">
        <f t="shared" si="2"/>
        <v>9.9999999999999978E-2</v>
      </c>
    </row>
    <row r="10" spans="1:18" x14ac:dyDescent="0.2">
      <c r="G10" s="3" t="s">
        <v>45</v>
      </c>
      <c r="H10" s="6">
        <v>0.75</v>
      </c>
      <c r="I10">
        <f t="shared" si="0"/>
        <v>0.75</v>
      </c>
      <c r="J10">
        <f t="shared" si="1"/>
        <v>0</v>
      </c>
      <c r="K10">
        <f t="shared" si="2"/>
        <v>0</v>
      </c>
    </row>
    <row r="11" spans="1:18" x14ac:dyDescent="0.2">
      <c r="A11" s="4">
        <v>0.75</v>
      </c>
      <c r="B11" s="5">
        <v>0</v>
      </c>
      <c r="C11" t="s">
        <v>15</v>
      </c>
      <c r="D11" t="s">
        <v>36</v>
      </c>
      <c r="E11" t="s">
        <v>37</v>
      </c>
      <c r="G11" s="3" t="s">
        <v>42</v>
      </c>
      <c r="H11" s="6">
        <v>0.75</v>
      </c>
      <c r="I11">
        <f t="shared" si="0"/>
        <v>0.75</v>
      </c>
      <c r="J11">
        <f t="shared" si="1"/>
        <v>0</v>
      </c>
      <c r="K11">
        <f t="shared" si="2"/>
        <v>0</v>
      </c>
      <c r="M11" s="7" t="s">
        <v>99</v>
      </c>
      <c r="N11" s="7" t="s">
        <v>98</v>
      </c>
    </row>
    <row r="12" spans="1:18" x14ac:dyDescent="0.2">
      <c r="A12" s="4">
        <v>0.75</v>
      </c>
      <c r="B12">
        <v>5</v>
      </c>
      <c r="C12" t="s">
        <v>39</v>
      </c>
      <c r="D12" t="s">
        <v>40</v>
      </c>
      <c r="E12" t="s">
        <v>41</v>
      </c>
      <c r="G12" s="3" t="s">
        <v>52</v>
      </c>
      <c r="H12" s="6">
        <v>0.85</v>
      </c>
      <c r="I12">
        <f t="shared" si="0"/>
        <v>0.85</v>
      </c>
      <c r="J12">
        <f t="shared" si="1"/>
        <v>0</v>
      </c>
      <c r="K12">
        <f t="shared" si="2"/>
        <v>0</v>
      </c>
      <c r="M12" s="7" t="s">
        <v>97</v>
      </c>
      <c r="N12">
        <v>0.65</v>
      </c>
      <c r="O12">
        <v>0.75</v>
      </c>
      <c r="P12">
        <v>0.85</v>
      </c>
      <c r="Q12">
        <v>0.95</v>
      </c>
      <c r="R12" t="s">
        <v>95</v>
      </c>
    </row>
    <row r="13" spans="1:18" x14ac:dyDescent="0.2">
      <c r="A13" s="4">
        <v>0.75</v>
      </c>
      <c r="B13">
        <v>10</v>
      </c>
      <c r="C13" t="s">
        <v>42</v>
      </c>
      <c r="D13" t="s">
        <v>43</v>
      </c>
      <c r="E13" t="s">
        <v>44</v>
      </c>
      <c r="G13" s="3" t="s">
        <v>39</v>
      </c>
      <c r="H13" s="6">
        <v>0.75</v>
      </c>
      <c r="I13">
        <f t="shared" si="0"/>
        <v>0.75</v>
      </c>
      <c r="J13">
        <f t="shared" si="1"/>
        <v>0</v>
      </c>
      <c r="K13">
        <f t="shared" si="2"/>
        <v>0</v>
      </c>
      <c r="M13" s="8">
        <v>0.65</v>
      </c>
      <c r="N13" s="11">
        <v>1</v>
      </c>
      <c r="O13" s="9">
        <v>0</v>
      </c>
      <c r="P13" s="9">
        <v>0</v>
      </c>
      <c r="Q13" s="9">
        <v>0</v>
      </c>
      <c r="R13" s="9">
        <v>1</v>
      </c>
    </row>
    <row r="14" spans="1:18" x14ac:dyDescent="0.2">
      <c r="A14" s="4">
        <v>0.75</v>
      </c>
      <c r="B14">
        <v>15</v>
      </c>
      <c r="C14" t="s">
        <v>45</v>
      </c>
      <c r="D14" t="s">
        <v>46</v>
      </c>
      <c r="E14" t="s">
        <v>47</v>
      </c>
      <c r="G14" s="3" t="s">
        <v>64</v>
      </c>
      <c r="H14" s="6">
        <v>0.85</v>
      </c>
      <c r="I14">
        <f t="shared" si="0"/>
        <v>0.85</v>
      </c>
      <c r="J14">
        <f t="shared" si="1"/>
        <v>0</v>
      </c>
      <c r="K14">
        <f t="shared" si="2"/>
        <v>0</v>
      </c>
      <c r="M14" s="8">
        <v>0.75</v>
      </c>
      <c r="N14" s="9">
        <v>0</v>
      </c>
      <c r="O14" s="11">
        <v>0.875</v>
      </c>
      <c r="P14" s="10">
        <v>0.125</v>
      </c>
      <c r="Q14" s="9">
        <v>0</v>
      </c>
      <c r="R14" s="9">
        <v>1</v>
      </c>
    </row>
    <row r="15" spans="1:18" x14ac:dyDescent="0.2">
      <c r="A15" s="4">
        <v>0.75</v>
      </c>
      <c r="B15">
        <v>17.5</v>
      </c>
      <c r="C15" t="s">
        <v>49</v>
      </c>
      <c r="D15" t="s">
        <v>50</v>
      </c>
      <c r="E15" t="s">
        <v>51</v>
      </c>
      <c r="G15" s="3" t="s">
        <v>42</v>
      </c>
      <c r="H15" s="6">
        <v>0.75</v>
      </c>
      <c r="I15">
        <f t="shared" si="0"/>
        <v>0.75</v>
      </c>
      <c r="J15">
        <f t="shared" si="1"/>
        <v>0</v>
      </c>
      <c r="K15">
        <f t="shared" si="2"/>
        <v>0</v>
      </c>
      <c r="M15" s="8">
        <v>0.85</v>
      </c>
      <c r="N15" s="9">
        <v>0</v>
      </c>
      <c r="O15" s="10">
        <v>6.25E-2</v>
      </c>
      <c r="P15" s="11">
        <v>0.71875</v>
      </c>
      <c r="Q15" s="10">
        <v>0.21875</v>
      </c>
      <c r="R15" s="9">
        <v>1</v>
      </c>
    </row>
    <row r="16" spans="1:18" x14ac:dyDescent="0.2">
      <c r="A16" s="4">
        <v>0.75</v>
      </c>
      <c r="B16">
        <v>20</v>
      </c>
      <c r="C16" t="s">
        <v>53</v>
      </c>
      <c r="D16" t="s">
        <v>54</v>
      </c>
      <c r="E16" t="s">
        <v>55</v>
      </c>
      <c r="G16" s="3" t="s">
        <v>61</v>
      </c>
      <c r="H16" s="6">
        <v>0.75</v>
      </c>
      <c r="I16">
        <f t="shared" si="0"/>
        <v>0.85</v>
      </c>
      <c r="J16">
        <f t="shared" si="1"/>
        <v>-9.9999999999999978E-2</v>
      </c>
      <c r="K16">
        <f t="shared" si="2"/>
        <v>9.9999999999999978E-2</v>
      </c>
      <c r="M16" s="8">
        <v>0.95</v>
      </c>
      <c r="N16" s="9">
        <v>0</v>
      </c>
      <c r="O16" s="9">
        <v>0</v>
      </c>
      <c r="P16" s="10">
        <v>0.12</v>
      </c>
      <c r="Q16" s="11">
        <v>0.88</v>
      </c>
      <c r="R16" s="9">
        <v>1</v>
      </c>
    </row>
    <row r="17" spans="1:18" x14ac:dyDescent="0.2">
      <c r="A17" s="4">
        <v>0.75</v>
      </c>
      <c r="B17">
        <v>22.5</v>
      </c>
      <c r="C17" t="s">
        <v>56</v>
      </c>
      <c r="D17" t="s">
        <v>57</v>
      </c>
      <c r="E17" t="s">
        <v>58</v>
      </c>
      <c r="G17" s="3" t="s">
        <v>42</v>
      </c>
      <c r="H17" s="6">
        <v>0.75</v>
      </c>
      <c r="I17">
        <f t="shared" si="0"/>
        <v>0.75</v>
      </c>
      <c r="J17">
        <f t="shared" si="1"/>
        <v>0</v>
      </c>
      <c r="K17">
        <f t="shared" si="2"/>
        <v>0</v>
      </c>
      <c r="M17" s="8" t="s">
        <v>95</v>
      </c>
      <c r="N17" s="9">
        <v>0.19</v>
      </c>
      <c r="O17" s="9">
        <v>0.23</v>
      </c>
      <c r="P17" s="9">
        <v>0.28999999999999998</v>
      </c>
      <c r="Q17" s="9">
        <v>0.28999999999999998</v>
      </c>
      <c r="R17" s="9">
        <v>1</v>
      </c>
    </row>
    <row r="18" spans="1:18" x14ac:dyDescent="0.2">
      <c r="G18" s="3" t="s">
        <v>61</v>
      </c>
      <c r="H18" s="6">
        <v>0.85</v>
      </c>
      <c r="I18">
        <f t="shared" si="0"/>
        <v>0.85</v>
      </c>
      <c r="J18">
        <f t="shared" si="1"/>
        <v>0</v>
      </c>
      <c r="K18">
        <f t="shared" si="2"/>
        <v>0</v>
      </c>
    </row>
    <row r="19" spans="1:18" x14ac:dyDescent="0.2">
      <c r="G19" s="3" t="s">
        <v>45</v>
      </c>
      <c r="H19" s="6">
        <v>0.85</v>
      </c>
      <c r="I19">
        <f t="shared" si="0"/>
        <v>0.75</v>
      </c>
      <c r="J19">
        <f t="shared" si="1"/>
        <v>9.9999999999999978E-2</v>
      </c>
      <c r="K19">
        <f t="shared" si="2"/>
        <v>9.9999999999999978E-2</v>
      </c>
    </row>
    <row r="20" spans="1:18" x14ac:dyDescent="0.2">
      <c r="A20" s="4">
        <v>0.85</v>
      </c>
      <c r="B20" s="5">
        <v>0</v>
      </c>
      <c r="C20" t="s">
        <v>52</v>
      </c>
      <c r="D20" t="s">
        <v>59</v>
      </c>
      <c r="E20" t="s">
        <v>60</v>
      </c>
      <c r="G20" s="3" t="s">
        <v>8</v>
      </c>
      <c r="H20" s="6">
        <v>0.65</v>
      </c>
      <c r="I20">
        <f t="shared" si="0"/>
        <v>0.65</v>
      </c>
      <c r="J20">
        <f t="shared" si="1"/>
        <v>0</v>
      </c>
      <c r="K20">
        <f t="shared" si="2"/>
        <v>0</v>
      </c>
    </row>
    <row r="21" spans="1:18" x14ac:dyDescent="0.2">
      <c r="A21" s="4">
        <v>0.85</v>
      </c>
      <c r="B21">
        <v>5</v>
      </c>
      <c r="C21" t="s">
        <v>61</v>
      </c>
      <c r="D21" t="s">
        <v>62</v>
      </c>
      <c r="E21" t="s">
        <v>63</v>
      </c>
      <c r="G21" s="3" t="s">
        <v>22</v>
      </c>
      <c r="H21" s="6">
        <v>0.95</v>
      </c>
      <c r="I21">
        <f t="shared" si="0"/>
        <v>0.95</v>
      </c>
      <c r="J21">
        <f t="shared" si="1"/>
        <v>0</v>
      </c>
      <c r="K21">
        <f t="shared" si="2"/>
        <v>0</v>
      </c>
    </row>
    <row r="22" spans="1:18" x14ac:dyDescent="0.2">
      <c r="A22" s="4">
        <v>0.85</v>
      </c>
      <c r="B22">
        <v>10</v>
      </c>
      <c r="C22" t="s">
        <v>64</v>
      </c>
      <c r="D22" t="s">
        <v>65</v>
      </c>
      <c r="E22" t="s">
        <v>66</v>
      </c>
      <c r="G22" s="3" t="s">
        <v>64</v>
      </c>
      <c r="H22" s="6">
        <v>0.85</v>
      </c>
      <c r="I22">
        <f t="shared" si="0"/>
        <v>0.85</v>
      </c>
      <c r="J22">
        <f t="shared" si="1"/>
        <v>0</v>
      </c>
      <c r="K22">
        <f t="shared" si="2"/>
        <v>0</v>
      </c>
    </row>
    <row r="23" spans="1:18" x14ac:dyDescent="0.2">
      <c r="A23" s="4">
        <v>0.85</v>
      </c>
      <c r="B23">
        <v>15</v>
      </c>
      <c r="C23" t="s">
        <v>67</v>
      </c>
      <c r="D23" t="s">
        <v>68</v>
      </c>
      <c r="E23" t="s">
        <v>69</v>
      </c>
      <c r="G23" s="3" t="s">
        <v>35</v>
      </c>
      <c r="H23" s="6">
        <v>0.95</v>
      </c>
      <c r="I23">
        <f t="shared" si="0"/>
        <v>0.95</v>
      </c>
      <c r="J23">
        <f t="shared" si="1"/>
        <v>0</v>
      </c>
      <c r="K23">
        <f t="shared" si="2"/>
        <v>0</v>
      </c>
    </row>
    <row r="24" spans="1:18" x14ac:dyDescent="0.2">
      <c r="A24" s="4">
        <v>0.85</v>
      </c>
      <c r="B24">
        <v>17.5</v>
      </c>
      <c r="C24" t="s">
        <v>34</v>
      </c>
      <c r="D24" t="s">
        <v>70</v>
      </c>
      <c r="E24" t="s">
        <v>71</v>
      </c>
      <c r="G24" s="3" t="s">
        <v>12</v>
      </c>
      <c r="H24" s="6">
        <v>0.65</v>
      </c>
      <c r="I24">
        <f t="shared" si="0"/>
        <v>0.65</v>
      </c>
      <c r="J24">
        <f t="shared" si="1"/>
        <v>0</v>
      </c>
      <c r="K24">
        <f t="shared" si="2"/>
        <v>0</v>
      </c>
    </row>
    <row r="25" spans="1:18" x14ac:dyDescent="0.2">
      <c r="A25" s="4">
        <v>0.85</v>
      </c>
      <c r="B25">
        <v>20</v>
      </c>
      <c r="C25" t="s">
        <v>72</v>
      </c>
      <c r="D25" t="s">
        <v>73</v>
      </c>
      <c r="E25" t="s">
        <v>74</v>
      </c>
      <c r="G25" s="3" t="s">
        <v>19</v>
      </c>
      <c r="H25" s="6">
        <v>0.65</v>
      </c>
      <c r="I25">
        <f t="shared" si="0"/>
        <v>0.65</v>
      </c>
      <c r="J25">
        <f t="shared" si="1"/>
        <v>0</v>
      </c>
      <c r="K25">
        <f t="shared" si="2"/>
        <v>0</v>
      </c>
    </row>
    <row r="26" spans="1:18" x14ac:dyDescent="0.2">
      <c r="A26" s="4">
        <v>0.85</v>
      </c>
      <c r="B26">
        <v>22.5</v>
      </c>
      <c r="C26" t="s">
        <v>26</v>
      </c>
      <c r="D26" t="s">
        <v>75</v>
      </c>
      <c r="E26" t="s">
        <v>76</v>
      </c>
      <c r="G26" s="3" t="s">
        <v>15</v>
      </c>
      <c r="H26" s="6">
        <v>0.75</v>
      </c>
      <c r="I26">
        <f t="shared" si="0"/>
        <v>0.75</v>
      </c>
      <c r="J26">
        <f t="shared" si="1"/>
        <v>0</v>
      </c>
      <c r="K26">
        <f t="shared" si="2"/>
        <v>0</v>
      </c>
    </row>
    <row r="27" spans="1:18" x14ac:dyDescent="0.2">
      <c r="G27" s="3" t="s">
        <v>15</v>
      </c>
      <c r="H27" s="6">
        <v>0.75</v>
      </c>
      <c r="I27">
        <f t="shared" si="0"/>
        <v>0.75</v>
      </c>
      <c r="J27">
        <f t="shared" si="1"/>
        <v>0</v>
      </c>
      <c r="K27">
        <f t="shared" si="2"/>
        <v>0</v>
      </c>
    </row>
    <row r="28" spans="1:18" x14ac:dyDescent="0.2">
      <c r="G28" s="3" t="s">
        <v>67</v>
      </c>
      <c r="H28" s="6">
        <v>0.85</v>
      </c>
      <c r="I28">
        <f t="shared" si="0"/>
        <v>0.85</v>
      </c>
      <c r="J28">
        <f t="shared" si="1"/>
        <v>0</v>
      </c>
      <c r="K28">
        <f t="shared" si="2"/>
        <v>0</v>
      </c>
    </row>
    <row r="29" spans="1:18" x14ac:dyDescent="0.2">
      <c r="A29" s="4">
        <v>0.95</v>
      </c>
      <c r="B29" s="5">
        <v>0</v>
      </c>
      <c r="C29" t="s">
        <v>48</v>
      </c>
      <c r="D29" t="s">
        <v>77</v>
      </c>
      <c r="E29" t="s">
        <v>78</v>
      </c>
      <c r="G29" s="3" t="s">
        <v>61</v>
      </c>
      <c r="H29" s="6">
        <v>0.85</v>
      </c>
      <c r="I29">
        <f t="shared" si="0"/>
        <v>0.85</v>
      </c>
      <c r="J29">
        <f t="shared" si="1"/>
        <v>0</v>
      </c>
      <c r="K29">
        <f t="shared" si="2"/>
        <v>0</v>
      </c>
    </row>
    <row r="30" spans="1:18" x14ac:dyDescent="0.2">
      <c r="A30" s="4">
        <v>0.95</v>
      </c>
      <c r="B30">
        <v>5</v>
      </c>
      <c r="C30" t="s">
        <v>79</v>
      </c>
      <c r="D30" t="s">
        <v>80</v>
      </c>
      <c r="E30" t="s">
        <v>81</v>
      </c>
      <c r="G30" s="3" t="s">
        <v>72</v>
      </c>
      <c r="H30" s="6">
        <v>0.85</v>
      </c>
      <c r="I30">
        <f t="shared" si="0"/>
        <v>0.85</v>
      </c>
      <c r="J30">
        <f t="shared" si="1"/>
        <v>0</v>
      </c>
      <c r="K30">
        <f t="shared" si="2"/>
        <v>0</v>
      </c>
    </row>
    <row r="31" spans="1:18" x14ac:dyDescent="0.2">
      <c r="A31" s="4">
        <v>0.95</v>
      </c>
      <c r="B31">
        <v>10</v>
      </c>
      <c r="C31" t="s">
        <v>35</v>
      </c>
      <c r="D31" t="s">
        <v>82</v>
      </c>
      <c r="E31" t="s">
        <v>83</v>
      </c>
      <c r="G31" s="3" t="s">
        <v>39</v>
      </c>
      <c r="H31" s="6">
        <v>0.75</v>
      </c>
      <c r="I31">
        <f t="shared" si="0"/>
        <v>0.75</v>
      </c>
      <c r="J31">
        <f t="shared" si="1"/>
        <v>0</v>
      </c>
      <c r="K31">
        <f t="shared" si="2"/>
        <v>0</v>
      </c>
    </row>
    <row r="32" spans="1:18" x14ac:dyDescent="0.2">
      <c r="A32" s="4">
        <v>0.95</v>
      </c>
      <c r="B32">
        <v>15</v>
      </c>
      <c r="C32" t="s">
        <v>33</v>
      </c>
      <c r="D32" t="s">
        <v>84</v>
      </c>
      <c r="E32" t="s">
        <v>85</v>
      </c>
      <c r="G32" s="3" t="s">
        <v>72</v>
      </c>
      <c r="H32" s="6">
        <v>0.95</v>
      </c>
      <c r="I32">
        <f t="shared" si="0"/>
        <v>0.85</v>
      </c>
      <c r="J32">
        <f t="shared" si="1"/>
        <v>9.9999999999999978E-2</v>
      </c>
      <c r="K32">
        <f t="shared" si="2"/>
        <v>9.9999999999999978E-2</v>
      </c>
    </row>
    <row r="33" spans="1:11" x14ac:dyDescent="0.2">
      <c r="A33" s="4">
        <v>0.95</v>
      </c>
      <c r="B33">
        <v>17.5</v>
      </c>
      <c r="C33" t="s">
        <v>11</v>
      </c>
      <c r="D33" t="s">
        <v>86</v>
      </c>
      <c r="E33" t="s">
        <v>87</v>
      </c>
      <c r="G33" s="3" t="s">
        <v>72</v>
      </c>
      <c r="H33" s="6">
        <v>0.95</v>
      </c>
      <c r="I33">
        <f t="shared" si="0"/>
        <v>0.85</v>
      </c>
      <c r="J33">
        <f t="shared" si="1"/>
        <v>9.9999999999999978E-2</v>
      </c>
      <c r="K33">
        <f t="shared" si="2"/>
        <v>9.9999999999999978E-2</v>
      </c>
    </row>
    <row r="34" spans="1:11" x14ac:dyDescent="0.2">
      <c r="A34" s="4">
        <v>0.95</v>
      </c>
      <c r="B34">
        <v>20</v>
      </c>
      <c r="C34" t="s">
        <v>22</v>
      </c>
      <c r="D34" t="s">
        <v>88</v>
      </c>
      <c r="E34" t="s">
        <v>89</v>
      </c>
      <c r="G34" s="3" t="s">
        <v>64</v>
      </c>
      <c r="H34" s="6">
        <v>0.85</v>
      </c>
      <c r="I34">
        <f t="shared" si="0"/>
        <v>0.85</v>
      </c>
      <c r="J34">
        <f t="shared" si="1"/>
        <v>0</v>
      </c>
      <c r="K34">
        <f t="shared" si="2"/>
        <v>0</v>
      </c>
    </row>
    <row r="35" spans="1:11" x14ac:dyDescent="0.2">
      <c r="A35" s="4">
        <v>0.95</v>
      </c>
      <c r="B35">
        <v>22.5</v>
      </c>
      <c r="C35" t="s">
        <v>38</v>
      </c>
      <c r="D35" t="s">
        <v>90</v>
      </c>
      <c r="E35" t="s">
        <v>91</v>
      </c>
      <c r="G35" s="3" t="s">
        <v>35</v>
      </c>
      <c r="H35" s="6">
        <v>0.95</v>
      </c>
      <c r="I35">
        <f t="shared" si="0"/>
        <v>0.95</v>
      </c>
      <c r="J35">
        <f t="shared" si="1"/>
        <v>0</v>
      </c>
      <c r="K35">
        <f t="shared" si="2"/>
        <v>0</v>
      </c>
    </row>
    <row r="36" spans="1:11" x14ac:dyDescent="0.2">
      <c r="G36" s="3" t="s">
        <v>61</v>
      </c>
      <c r="H36" s="6">
        <v>0.85</v>
      </c>
      <c r="I36">
        <f t="shared" si="0"/>
        <v>0.85</v>
      </c>
      <c r="J36">
        <f t="shared" si="1"/>
        <v>0</v>
      </c>
      <c r="K36">
        <f t="shared" si="2"/>
        <v>0</v>
      </c>
    </row>
    <row r="37" spans="1:11" x14ac:dyDescent="0.2">
      <c r="G37" s="3" t="s">
        <v>67</v>
      </c>
      <c r="H37" s="6">
        <v>0.85</v>
      </c>
      <c r="I37">
        <f t="shared" si="0"/>
        <v>0.85</v>
      </c>
      <c r="J37">
        <f t="shared" si="1"/>
        <v>0</v>
      </c>
      <c r="K37">
        <f t="shared" si="2"/>
        <v>0</v>
      </c>
    </row>
    <row r="38" spans="1:11" x14ac:dyDescent="0.2">
      <c r="G38" s="3" t="s">
        <v>8</v>
      </c>
      <c r="H38" s="6">
        <v>0.65</v>
      </c>
      <c r="I38">
        <f t="shared" si="0"/>
        <v>0.65</v>
      </c>
      <c r="J38">
        <f t="shared" si="1"/>
        <v>0</v>
      </c>
      <c r="K38">
        <f t="shared" si="2"/>
        <v>0</v>
      </c>
    </row>
    <row r="39" spans="1:11" x14ac:dyDescent="0.2">
      <c r="G39" s="3" t="s">
        <v>22</v>
      </c>
      <c r="H39" s="6">
        <v>0.95</v>
      </c>
      <c r="I39">
        <f t="shared" si="0"/>
        <v>0.95</v>
      </c>
      <c r="J39">
        <f t="shared" si="1"/>
        <v>0</v>
      </c>
      <c r="K39">
        <f t="shared" si="2"/>
        <v>0</v>
      </c>
    </row>
    <row r="40" spans="1:11" x14ac:dyDescent="0.2">
      <c r="G40" s="3" t="s">
        <v>33</v>
      </c>
      <c r="H40" s="6">
        <v>0.85</v>
      </c>
      <c r="I40">
        <f t="shared" si="0"/>
        <v>0.95</v>
      </c>
      <c r="J40">
        <f t="shared" si="1"/>
        <v>-9.9999999999999978E-2</v>
      </c>
      <c r="K40">
        <f t="shared" si="2"/>
        <v>9.9999999999999978E-2</v>
      </c>
    </row>
    <row r="41" spans="1:11" x14ac:dyDescent="0.2">
      <c r="G41" s="3" t="s">
        <v>22</v>
      </c>
      <c r="H41" s="6">
        <v>0.95</v>
      </c>
      <c r="I41">
        <f t="shared" si="0"/>
        <v>0.95</v>
      </c>
      <c r="J41">
        <f t="shared" si="1"/>
        <v>0</v>
      </c>
      <c r="K41">
        <f t="shared" si="2"/>
        <v>0</v>
      </c>
    </row>
    <row r="42" spans="1:11" x14ac:dyDescent="0.2">
      <c r="G42" s="3" t="s">
        <v>33</v>
      </c>
      <c r="H42" s="6">
        <v>0.85</v>
      </c>
      <c r="I42">
        <f t="shared" si="0"/>
        <v>0.95</v>
      </c>
      <c r="J42">
        <f t="shared" si="1"/>
        <v>-9.9999999999999978E-2</v>
      </c>
      <c r="K42">
        <f t="shared" si="2"/>
        <v>9.9999999999999978E-2</v>
      </c>
    </row>
    <row r="43" spans="1:11" x14ac:dyDescent="0.2">
      <c r="G43" s="3" t="s">
        <v>67</v>
      </c>
      <c r="H43" s="6">
        <v>0.85</v>
      </c>
      <c r="I43">
        <f t="shared" si="0"/>
        <v>0.85</v>
      </c>
      <c r="J43">
        <f t="shared" si="1"/>
        <v>0</v>
      </c>
      <c r="K43">
        <f t="shared" si="2"/>
        <v>0</v>
      </c>
    </row>
    <row r="44" spans="1:11" x14ac:dyDescent="0.2">
      <c r="G44" s="3" t="s">
        <v>48</v>
      </c>
      <c r="H44" s="6">
        <v>0.95</v>
      </c>
      <c r="I44">
        <f t="shared" si="0"/>
        <v>0.95</v>
      </c>
      <c r="J44">
        <f t="shared" si="1"/>
        <v>0</v>
      </c>
      <c r="K44">
        <f t="shared" si="2"/>
        <v>0</v>
      </c>
    </row>
    <row r="45" spans="1:11" x14ac:dyDescent="0.2">
      <c r="G45" s="3" t="s">
        <v>15</v>
      </c>
      <c r="H45" s="6">
        <v>0.75</v>
      </c>
      <c r="I45">
        <f t="shared" si="0"/>
        <v>0.75</v>
      </c>
      <c r="J45">
        <f t="shared" si="1"/>
        <v>0</v>
      </c>
      <c r="K45">
        <f t="shared" si="2"/>
        <v>0</v>
      </c>
    </row>
    <row r="46" spans="1:11" x14ac:dyDescent="0.2">
      <c r="G46" s="3" t="s">
        <v>45</v>
      </c>
      <c r="H46" s="6">
        <v>0.75</v>
      </c>
      <c r="I46">
        <f t="shared" si="0"/>
        <v>0.75</v>
      </c>
      <c r="J46">
        <f t="shared" si="1"/>
        <v>0</v>
      </c>
      <c r="K46">
        <f t="shared" si="2"/>
        <v>0</v>
      </c>
    </row>
    <row r="47" spans="1:11" x14ac:dyDescent="0.2">
      <c r="G47" s="3" t="s">
        <v>33</v>
      </c>
      <c r="H47" s="6">
        <v>0.95</v>
      </c>
      <c r="I47">
        <f t="shared" si="0"/>
        <v>0.95</v>
      </c>
      <c r="J47">
        <f t="shared" si="1"/>
        <v>0</v>
      </c>
      <c r="K47">
        <f t="shared" si="2"/>
        <v>0</v>
      </c>
    </row>
    <row r="48" spans="1:11" x14ac:dyDescent="0.2">
      <c r="G48" s="3" t="s">
        <v>72</v>
      </c>
      <c r="H48" s="6">
        <v>0.75</v>
      </c>
      <c r="I48">
        <f t="shared" si="0"/>
        <v>0.85</v>
      </c>
      <c r="J48">
        <f t="shared" si="1"/>
        <v>-9.9999999999999978E-2</v>
      </c>
      <c r="K48">
        <f t="shared" si="2"/>
        <v>9.9999999999999978E-2</v>
      </c>
    </row>
    <row r="49" spans="7:11" x14ac:dyDescent="0.2">
      <c r="G49" s="3" t="s">
        <v>45</v>
      </c>
      <c r="H49" s="6">
        <v>0.85</v>
      </c>
      <c r="I49">
        <f t="shared" si="0"/>
        <v>0.75</v>
      </c>
      <c r="J49">
        <f t="shared" si="1"/>
        <v>9.9999999999999978E-2</v>
      </c>
      <c r="K49">
        <f t="shared" si="2"/>
        <v>9.9999999999999978E-2</v>
      </c>
    </row>
    <row r="50" spans="7:11" x14ac:dyDescent="0.2">
      <c r="G50" s="3" t="s">
        <v>35</v>
      </c>
      <c r="H50" s="6">
        <v>0.95</v>
      </c>
      <c r="I50">
        <f t="shared" si="0"/>
        <v>0.95</v>
      </c>
      <c r="J50">
        <f t="shared" si="1"/>
        <v>0</v>
      </c>
      <c r="K50">
        <f t="shared" si="2"/>
        <v>0</v>
      </c>
    </row>
    <row r="51" spans="7:11" x14ac:dyDescent="0.2">
      <c r="G51" s="3" t="s">
        <v>48</v>
      </c>
      <c r="H51" s="6">
        <v>0.95</v>
      </c>
      <c r="I51">
        <f t="shared" si="0"/>
        <v>0.95</v>
      </c>
      <c r="J51">
        <f t="shared" si="1"/>
        <v>0</v>
      </c>
      <c r="K51">
        <f t="shared" si="2"/>
        <v>0</v>
      </c>
    </row>
    <row r="52" spans="7:11" x14ac:dyDescent="0.2">
      <c r="G52" s="3" t="s">
        <v>33</v>
      </c>
      <c r="H52" s="6">
        <v>0.95</v>
      </c>
      <c r="I52">
        <f t="shared" si="0"/>
        <v>0.95</v>
      </c>
      <c r="J52">
        <f t="shared" si="1"/>
        <v>0</v>
      </c>
      <c r="K52">
        <f t="shared" si="2"/>
        <v>0</v>
      </c>
    </row>
    <row r="53" spans="7:11" x14ac:dyDescent="0.2">
      <c r="G53" s="3" t="s">
        <v>64</v>
      </c>
      <c r="H53" s="6">
        <v>0.85</v>
      </c>
      <c r="I53">
        <f t="shared" si="0"/>
        <v>0.85</v>
      </c>
      <c r="J53">
        <f t="shared" si="1"/>
        <v>0</v>
      </c>
      <c r="K53">
        <f t="shared" si="2"/>
        <v>0</v>
      </c>
    </row>
    <row r="54" spans="7:11" x14ac:dyDescent="0.2">
      <c r="G54" s="3" t="s">
        <v>61</v>
      </c>
      <c r="H54" s="6">
        <v>0.85</v>
      </c>
      <c r="I54">
        <f t="shared" si="0"/>
        <v>0.85</v>
      </c>
      <c r="J54">
        <f t="shared" si="1"/>
        <v>0</v>
      </c>
      <c r="K54">
        <f t="shared" si="2"/>
        <v>0</v>
      </c>
    </row>
    <row r="55" spans="7:11" x14ac:dyDescent="0.2">
      <c r="G55" s="3" t="s">
        <v>12</v>
      </c>
      <c r="H55" s="6">
        <v>0.65</v>
      </c>
      <c r="I55">
        <f t="shared" si="0"/>
        <v>0.65</v>
      </c>
      <c r="J55">
        <f t="shared" si="1"/>
        <v>0</v>
      </c>
      <c r="K55">
        <f t="shared" si="2"/>
        <v>0</v>
      </c>
    </row>
    <row r="56" spans="7:11" x14ac:dyDescent="0.2">
      <c r="G56" s="3" t="s">
        <v>39</v>
      </c>
      <c r="H56" s="6">
        <v>0.75</v>
      </c>
      <c r="I56">
        <f t="shared" si="0"/>
        <v>0.75</v>
      </c>
      <c r="J56">
        <f t="shared" si="1"/>
        <v>0</v>
      </c>
      <c r="K56">
        <f t="shared" si="2"/>
        <v>0</v>
      </c>
    </row>
    <row r="57" spans="7:11" x14ac:dyDescent="0.2">
      <c r="G57" s="3" t="s">
        <v>53</v>
      </c>
      <c r="H57" s="6">
        <v>0.75</v>
      </c>
      <c r="I57">
        <f t="shared" si="0"/>
        <v>0.75</v>
      </c>
      <c r="J57">
        <f t="shared" si="1"/>
        <v>0</v>
      </c>
      <c r="K57">
        <f t="shared" si="2"/>
        <v>0</v>
      </c>
    </row>
    <row r="58" spans="7:11" x14ac:dyDescent="0.2">
      <c r="G58" s="3" t="s">
        <v>16</v>
      </c>
      <c r="H58" s="6">
        <v>0.65</v>
      </c>
      <c r="I58">
        <f t="shared" si="0"/>
        <v>0.65</v>
      </c>
      <c r="J58">
        <f t="shared" si="1"/>
        <v>0</v>
      </c>
      <c r="K58">
        <f t="shared" si="2"/>
        <v>0</v>
      </c>
    </row>
    <row r="59" spans="7:11" x14ac:dyDescent="0.2">
      <c r="G59" s="3" t="s">
        <v>39</v>
      </c>
      <c r="H59" s="6">
        <v>0.75</v>
      </c>
      <c r="I59">
        <f t="shared" si="0"/>
        <v>0.75</v>
      </c>
      <c r="J59">
        <f t="shared" si="1"/>
        <v>0</v>
      </c>
      <c r="K59">
        <f t="shared" si="2"/>
        <v>0</v>
      </c>
    </row>
    <row r="60" spans="7:11" x14ac:dyDescent="0.2">
      <c r="G60" s="3" t="s">
        <v>12</v>
      </c>
      <c r="H60" s="6">
        <v>0.65</v>
      </c>
      <c r="I60">
        <f t="shared" si="0"/>
        <v>0.65</v>
      </c>
      <c r="J60">
        <f t="shared" si="1"/>
        <v>0</v>
      </c>
      <c r="K60">
        <f t="shared" si="2"/>
        <v>0</v>
      </c>
    </row>
    <row r="61" spans="7:11" x14ac:dyDescent="0.2">
      <c r="G61" s="3" t="s">
        <v>79</v>
      </c>
      <c r="H61" s="6">
        <v>0.95</v>
      </c>
      <c r="I61">
        <f t="shared" si="0"/>
        <v>0.95</v>
      </c>
      <c r="J61">
        <f t="shared" si="1"/>
        <v>0</v>
      </c>
      <c r="K61">
        <f t="shared" si="2"/>
        <v>0</v>
      </c>
    </row>
    <row r="62" spans="7:11" x14ac:dyDescent="0.2">
      <c r="G62" s="3" t="s">
        <v>48</v>
      </c>
      <c r="H62" s="6">
        <v>0.95</v>
      </c>
      <c r="I62">
        <f t="shared" si="0"/>
        <v>0.95</v>
      </c>
      <c r="J62">
        <f t="shared" si="1"/>
        <v>0</v>
      </c>
      <c r="K62">
        <f t="shared" si="2"/>
        <v>0</v>
      </c>
    </row>
    <row r="63" spans="7:11" x14ac:dyDescent="0.2">
      <c r="G63" s="3" t="s">
        <v>16</v>
      </c>
      <c r="H63" s="6">
        <v>0.65</v>
      </c>
      <c r="I63">
        <f t="shared" si="0"/>
        <v>0.65</v>
      </c>
      <c r="J63">
        <f t="shared" si="1"/>
        <v>0</v>
      </c>
      <c r="K63">
        <f t="shared" si="2"/>
        <v>0</v>
      </c>
    </row>
    <row r="64" spans="7:11" x14ac:dyDescent="0.2">
      <c r="G64" s="3" t="s">
        <v>53</v>
      </c>
      <c r="H64" s="6">
        <v>0.75</v>
      </c>
      <c r="I64">
        <f t="shared" si="0"/>
        <v>0.75</v>
      </c>
      <c r="J64">
        <f t="shared" si="1"/>
        <v>0</v>
      </c>
      <c r="K64">
        <f t="shared" si="2"/>
        <v>0</v>
      </c>
    </row>
    <row r="65" spans="7:11" x14ac:dyDescent="0.2">
      <c r="G65" s="3" t="s">
        <v>53</v>
      </c>
      <c r="H65" s="6">
        <v>0.75</v>
      </c>
      <c r="I65">
        <f t="shared" si="0"/>
        <v>0.75</v>
      </c>
      <c r="J65">
        <f t="shared" si="1"/>
        <v>0</v>
      </c>
      <c r="K65">
        <f t="shared" si="2"/>
        <v>0</v>
      </c>
    </row>
    <row r="66" spans="7:11" x14ac:dyDescent="0.2">
      <c r="G66" s="3" t="s">
        <v>12</v>
      </c>
      <c r="H66" s="6">
        <v>0.65</v>
      </c>
      <c r="I66">
        <f t="shared" si="0"/>
        <v>0.65</v>
      </c>
      <c r="J66">
        <f t="shared" si="1"/>
        <v>0</v>
      </c>
      <c r="K66">
        <f t="shared" si="2"/>
        <v>0</v>
      </c>
    </row>
    <row r="67" spans="7:11" x14ac:dyDescent="0.2">
      <c r="G67" s="3" t="s">
        <v>61</v>
      </c>
      <c r="H67" s="6">
        <v>0.85</v>
      </c>
      <c r="I67">
        <f t="shared" ref="I67:I101" si="3">_xlfn.XLOOKUP(G67,$C$2:$C$35,$A$2:$A$35)</f>
        <v>0.85</v>
      </c>
      <c r="J67">
        <f t="shared" ref="J67:J101" si="4">H67-I67</f>
        <v>0</v>
      </c>
      <c r="K67">
        <f t="shared" ref="K67:K101" si="5">IF(J67&lt;0,(J67*-1),J67)</f>
        <v>0</v>
      </c>
    </row>
    <row r="68" spans="7:11" x14ac:dyDescent="0.2">
      <c r="G68" s="3" t="s">
        <v>72</v>
      </c>
      <c r="H68" s="6">
        <v>0.85</v>
      </c>
      <c r="I68">
        <f t="shared" si="3"/>
        <v>0.85</v>
      </c>
      <c r="J68">
        <f t="shared" si="4"/>
        <v>0</v>
      </c>
      <c r="K68">
        <f t="shared" si="5"/>
        <v>0</v>
      </c>
    </row>
    <row r="69" spans="7:11" x14ac:dyDescent="0.2">
      <c r="G69" s="3" t="s">
        <v>72</v>
      </c>
      <c r="H69" s="6">
        <v>0.95</v>
      </c>
      <c r="I69">
        <f t="shared" si="3"/>
        <v>0.85</v>
      </c>
      <c r="J69">
        <f t="shared" si="4"/>
        <v>9.9999999999999978E-2</v>
      </c>
      <c r="K69">
        <f t="shared" si="5"/>
        <v>9.9999999999999978E-2</v>
      </c>
    </row>
    <row r="70" spans="7:11" x14ac:dyDescent="0.2">
      <c r="G70" s="3" t="s">
        <v>35</v>
      </c>
      <c r="H70" s="6">
        <v>0.95</v>
      </c>
      <c r="I70">
        <f t="shared" si="3"/>
        <v>0.95</v>
      </c>
      <c r="J70">
        <f t="shared" si="4"/>
        <v>0</v>
      </c>
      <c r="K70">
        <f t="shared" si="5"/>
        <v>0</v>
      </c>
    </row>
    <row r="71" spans="7:11" x14ac:dyDescent="0.2">
      <c r="G71" s="3" t="s">
        <v>52</v>
      </c>
      <c r="H71" s="6">
        <v>0.85</v>
      </c>
      <c r="I71">
        <f t="shared" si="3"/>
        <v>0.85</v>
      </c>
      <c r="J71">
        <f t="shared" si="4"/>
        <v>0</v>
      </c>
      <c r="K71">
        <f t="shared" si="5"/>
        <v>0</v>
      </c>
    </row>
    <row r="72" spans="7:11" x14ac:dyDescent="0.2">
      <c r="G72" s="3" t="s">
        <v>48</v>
      </c>
      <c r="H72" s="6">
        <v>0.95</v>
      </c>
      <c r="I72">
        <f t="shared" si="3"/>
        <v>0.95</v>
      </c>
      <c r="J72">
        <f t="shared" si="4"/>
        <v>0</v>
      </c>
      <c r="K72">
        <f t="shared" si="5"/>
        <v>0</v>
      </c>
    </row>
    <row r="73" spans="7:11" x14ac:dyDescent="0.2">
      <c r="G73" s="3" t="s">
        <v>33</v>
      </c>
      <c r="H73" s="6">
        <v>0.95</v>
      </c>
      <c r="I73">
        <f t="shared" si="3"/>
        <v>0.95</v>
      </c>
      <c r="J73">
        <f t="shared" si="4"/>
        <v>0</v>
      </c>
      <c r="K73">
        <f t="shared" si="5"/>
        <v>0</v>
      </c>
    </row>
    <row r="74" spans="7:11" x14ac:dyDescent="0.2">
      <c r="G74" s="3" t="s">
        <v>72</v>
      </c>
      <c r="H74" s="6">
        <v>0.95</v>
      </c>
      <c r="I74">
        <f t="shared" si="3"/>
        <v>0.85</v>
      </c>
      <c r="J74">
        <f t="shared" si="4"/>
        <v>9.9999999999999978E-2</v>
      </c>
      <c r="K74">
        <f t="shared" si="5"/>
        <v>9.9999999999999978E-2</v>
      </c>
    </row>
    <row r="75" spans="7:11" x14ac:dyDescent="0.2">
      <c r="G75" s="3" t="s">
        <v>61</v>
      </c>
      <c r="H75" s="6">
        <v>0.85</v>
      </c>
      <c r="I75">
        <f t="shared" si="3"/>
        <v>0.85</v>
      </c>
      <c r="J75">
        <f t="shared" si="4"/>
        <v>0</v>
      </c>
      <c r="K75">
        <f t="shared" si="5"/>
        <v>0</v>
      </c>
    </row>
    <row r="76" spans="7:11" x14ac:dyDescent="0.2">
      <c r="G76" s="3" t="s">
        <v>15</v>
      </c>
      <c r="H76" s="6">
        <v>0.75</v>
      </c>
      <c r="I76">
        <f t="shared" si="3"/>
        <v>0.75</v>
      </c>
      <c r="J76">
        <f t="shared" si="4"/>
        <v>0</v>
      </c>
      <c r="K76">
        <f t="shared" si="5"/>
        <v>0</v>
      </c>
    </row>
    <row r="77" spans="7:11" x14ac:dyDescent="0.2">
      <c r="G77" s="3" t="s">
        <v>52</v>
      </c>
      <c r="H77" s="6">
        <v>0.85</v>
      </c>
      <c r="I77">
        <f t="shared" si="3"/>
        <v>0.85</v>
      </c>
      <c r="J77">
        <f t="shared" si="4"/>
        <v>0</v>
      </c>
      <c r="K77">
        <f t="shared" si="5"/>
        <v>0</v>
      </c>
    </row>
    <row r="78" spans="7:11" x14ac:dyDescent="0.2">
      <c r="G78" s="3" t="s">
        <v>67</v>
      </c>
      <c r="H78" s="6">
        <v>0.95</v>
      </c>
      <c r="I78">
        <f t="shared" si="3"/>
        <v>0.85</v>
      </c>
      <c r="J78">
        <f t="shared" si="4"/>
        <v>9.9999999999999978E-2</v>
      </c>
      <c r="K78">
        <f t="shared" si="5"/>
        <v>9.9999999999999978E-2</v>
      </c>
    </row>
    <row r="79" spans="7:11" x14ac:dyDescent="0.2">
      <c r="G79" s="3" t="s">
        <v>48</v>
      </c>
      <c r="H79" s="6">
        <v>0.95</v>
      </c>
      <c r="I79">
        <f t="shared" si="3"/>
        <v>0.95</v>
      </c>
      <c r="J79">
        <f t="shared" si="4"/>
        <v>0</v>
      </c>
      <c r="K79">
        <f t="shared" si="5"/>
        <v>0</v>
      </c>
    </row>
    <row r="80" spans="7:11" x14ac:dyDescent="0.2">
      <c r="G80" s="3" t="s">
        <v>27</v>
      </c>
      <c r="H80" s="6">
        <v>0.65</v>
      </c>
      <c r="I80">
        <f t="shared" si="3"/>
        <v>0.65</v>
      </c>
      <c r="J80">
        <f t="shared" si="4"/>
        <v>0</v>
      </c>
      <c r="K80">
        <f t="shared" si="5"/>
        <v>0</v>
      </c>
    </row>
    <row r="81" spans="7:11" x14ac:dyDescent="0.2">
      <c r="G81" s="3" t="s">
        <v>12</v>
      </c>
      <c r="H81" s="6">
        <v>0.65</v>
      </c>
      <c r="I81">
        <f t="shared" si="3"/>
        <v>0.65</v>
      </c>
      <c r="J81">
        <f t="shared" si="4"/>
        <v>0</v>
      </c>
      <c r="K81">
        <f t="shared" si="5"/>
        <v>0</v>
      </c>
    </row>
    <row r="82" spans="7:11" x14ac:dyDescent="0.2">
      <c r="G82" s="3" t="s">
        <v>48</v>
      </c>
      <c r="H82" s="6">
        <v>0.95</v>
      </c>
      <c r="I82">
        <f t="shared" si="3"/>
        <v>0.95</v>
      </c>
      <c r="J82">
        <f t="shared" si="4"/>
        <v>0</v>
      </c>
      <c r="K82">
        <f t="shared" si="5"/>
        <v>0</v>
      </c>
    </row>
    <row r="83" spans="7:11" x14ac:dyDescent="0.2">
      <c r="G83" s="3" t="s">
        <v>67</v>
      </c>
      <c r="H83" s="6">
        <v>0.95</v>
      </c>
      <c r="I83">
        <f t="shared" si="3"/>
        <v>0.85</v>
      </c>
      <c r="J83">
        <f t="shared" si="4"/>
        <v>9.9999999999999978E-2</v>
      </c>
      <c r="K83">
        <f t="shared" si="5"/>
        <v>9.9999999999999978E-2</v>
      </c>
    </row>
    <row r="84" spans="7:11" x14ac:dyDescent="0.2">
      <c r="G84" s="3" t="s">
        <v>19</v>
      </c>
      <c r="H84" s="6">
        <v>0.65</v>
      </c>
      <c r="I84">
        <f t="shared" si="3"/>
        <v>0.65</v>
      </c>
      <c r="J84">
        <f t="shared" si="4"/>
        <v>0</v>
      </c>
      <c r="K84">
        <f t="shared" si="5"/>
        <v>0</v>
      </c>
    </row>
    <row r="85" spans="7:11" x14ac:dyDescent="0.2">
      <c r="G85" s="3" t="s">
        <v>52</v>
      </c>
      <c r="H85" s="6">
        <v>0.85</v>
      </c>
      <c r="I85">
        <f t="shared" si="3"/>
        <v>0.85</v>
      </c>
      <c r="J85">
        <f t="shared" si="4"/>
        <v>0</v>
      </c>
      <c r="K85">
        <f t="shared" si="5"/>
        <v>0</v>
      </c>
    </row>
    <row r="86" spans="7:11" x14ac:dyDescent="0.2">
      <c r="G86" s="3" t="s">
        <v>19</v>
      </c>
      <c r="H86" s="6">
        <v>0.65</v>
      </c>
      <c r="I86">
        <f t="shared" si="3"/>
        <v>0.65</v>
      </c>
      <c r="J86">
        <f t="shared" si="4"/>
        <v>0</v>
      </c>
      <c r="K86">
        <f t="shared" si="5"/>
        <v>0</v>
      </c>
    </row>
    <row r="87" spans="7:11" x14ac:dyDescent="0.2">
      <c r="G87" s="3" t="s">
        <v>27</v>
      </c>
      <c r="H87" s="6">
        <v>0.65</v>
      </c>
      <c r="I87">
        <f t="shared" si="3"/>
        <v>0.65</v>
      </c>
      <c r="J87">
        <f t="shared" si="4"/>
        <v>0</v>
      </c>
      <c r="K87">
        <f t="shared" si="5"/>
        <v>0</v>
      </c>
    </row>
    <row r="88" spans="7:11" x14ac:dyDescent="0.2">
      <c r="G88" s="3" t="s">
        <v>72</v>
      </c>
      <c r="H88" s="6">
        <v>0.85</v>
      </c>
      <c r="I88">
        <f t="shared" si="3"/>
        <v>0.85</v>
      </c>
      <c r="J88">
        <f t="shared" si="4"/>
        <v>0</v>
      </c>
      <c r="K88">
        <f t="shared" si="5"/>
        <v>0</v>
      </c>
    </row>
    <row r="89" spans="7:11" x14ac:dyDescent="0.2">
      <c r="G89" s="3" t="s">
        <v>67</v>
      </c>
      <c r="H89" s="6">
        <v>0.85</v>
      </c>
      <c r="I89">
        <f t="shared" si="3"/>
        <v>0.85</v>
      </c>
      <c r="J89">
        <f t="shared" si="4"/>
        <v>0</v>
      </c>
      <c r="K89">
        <f t="shared" si="5"/>
        <v>0</v>
      </c>
    </row>
    <row r="90" spans="7:11" x14ac:dyDescent="0.2">
      <c r="G90" s="3" t="s">
        <v>22</v>
      </c>
      <c r="H90" s="6">
        <v>0.95</v>
      </c>
      <c r="I90">
        <f t="shared" si="3"/>
        <v>0.95</v>
      </c>
      <c r="J90">
        <f t="shared" si="4"/>
        <v>0</v>
      </c>
      <c r="K90">
        <f t="shared" si="5"/>
        <v>0</v>
      </c>
    </row>
    <row r="91" spans="7:11" x14ac:dyDescent="0.2">
      <c r="G91" s="3" t="s">
        <v>48</v>
      </c>
      <c r="H91" s="6">
        <v>0.95</v>
      </c>
      <c r="I91">
        <f t="shared" si="3"/>
        <v>0.95</v>
      </c>
      <c r="J91">
        <f t="shared" si="4"/>
        <v>0</v>
      </c>
      <c r="K91">
        <f t="shared" si="5"/>
        <v>0</v>
      </c>
    </row>
    <row r="92" spans="7:11" x14ac:dyDescent="0.2">
      <c r="G92" s="3" t="s">
        <v>45</v>
      </c>
      <c r="H92" s="6">
        <v>0.75</v>
      </c>
      <c r="I92">
        <f t="shared" si="3"/>
        <v>0.75</v>
      </c>
      <c r="J92">
        <f t="shared" si="4"/>
        <v>0</v>
      </c>
      <c r="K92">
        <f t="shared" si="5"/>
        <v>0</v>
      </c>
    </row>
    <row r="93" spans="7:11" x14ac:dyDescent="0.2">
      <c r="G93" s="3" t="s">
        <v>52</v>
      </c>
      <c r="H93" s="6">
        <v>0.85</v>
      </c>
      <c r="I93">
        <f t="shared" si="3"/>
        <v>0.85</v>
      </c>
      <c r="J93">
        <f t="shared" si="4"/>
        <v>0</v>
      </c>
      <c r="K93">
        <f t="shared" si="5"/>
        <v>0</v>
      </c>
    </row>
    <row r="94" spans="7:11" x14ac:dyDescent="0.2">
      <c r="G94" s="3" t="s">
        <v>12</v>
      </c>
      <c r="H94" s="6">
        <v>0.65</v>
      </c>
      <c r="I94">
        <f t="shared" si="3"/>
        <v>0.65</v>
      </c>
      <c r="J94">
        <f t="shared" si="4"/>
        <v>0</v>
      </c>
      <c r="K94">
        <f t="shared" si="5"/>
        <v>0</v>
      </c>
    </row>
    <row r="95" spans="7:11" x14ac:dyDescent="0.2">
      <c r="G95" s="3" t="s">
        <v>22</v>
      </c>
      <c r="H95" s="6">
        <v>0.95</v>
      </c>
      <c r="I95">
        <f t="shared" si="3"/>
        <v>0.95</v>
      </c>
      <c r="J95">
        <f t="shared" si="4"/>
        <v>0</v>
      </c>
      <c r="K95">
        <f t="shared" si="5"/>
        <v>0</v>
      </c>
    </row>
    <row r="96" spans="7:11" x14ac:dyDescent="0.2">
      <c r="G96" s="3" t="s">
        <v>79</v>
      </c>
      <c r="H96" s="6">
        <v>0.95</v>
      </c>
      <c r="I96">
        <f t="shared" si="3"/>
        <v>0.95</v>
      </c>
      <c r="J96">
        <f t="shared" si="4"/>
        <v>0</v>
      </c>
      <c r="K96">
        <f t="shared" si="5"/>
        <v>0</v>
      </c>
    </row>
    <row r="97" spans="7:11" x14ac:dyDescent="0.2">
      <c r="G97" s="3" t="s">
        <v>45</v>
      </c>
      <c r="H97" s="6">
        <v>0.75</v>
      </c>
      <c r="I97">
        <f t="shared" si="3"/>
        <v>0.75</v>
      </c>
      <c r="J97">
        <f t="shared" si="4"/>
        <v>0</v>
      </c>
      <c r="K97">
        <f t="shared" si="5"/>
        <v>0</v>
      </c>
    </row>
    <row r="98" spans="7:11" x14ac:dyDescent="0.2">
      <c r="G98" s="3" t="s">
        <v>35</v>
      </c>
      <c r="H98" s="6">
        <v>0.95</v>
      </c>
      <c r="I98">
        <f t="shared" si="3"/>
        <v>0.95</v>
      </c>
      <c r="J98">
        <f t="shared" si="4"/>
        <v>0</v>
      </c>
      <c r="K98">
        <f t="shared" si="5"/>
        <v>0</v>
      </c>
    </row>
    <row r="99" spans="7:11" x14ac:dyDescent="0.2">
      <c r="G99" s="3" t="s">
        <v>39</v>
      </c>
      <c r="H99" s="6">
        <v>0.75</v>
      </c>
      <c r="I99">
        <f t="shared" si="3"/>
        <v>0.75</v>
      </c>
      <c r="J99">
        <f t="shared" si="4"/>
        <v>0</v>
      </c>
      <c r="K99">
        <f t="shared" si="5"/>
        <v>0</v>
      </c>
    </row>
    <row r="100" spans="7:11" x14ac:dyDescent="0.2">
      <c r="G100" s="3" t="s">
        <v>16</v>
      </c>
      <c r="H100" s="6">
        <v>0.65</v>
      </c>
      <c r="I100">
        <f t="shared" si="3"/>
        <v>0.65</v>
      </c>
      <c r="J100">
        <f t="shared" si="4"/>
        <v>0</v>
      </c>
      <c r="K100">
        <f t="shared" si="5"/>
        <v>0</v>
      </c>
    </row>
    <row r="101" spans="7:11" x14ac:dyDescent="0.2">
      <c r="G101" s="3" t="s">
        <v>27</v>
      </c>
      <c r="H101" s="6">
        <v>0.65</v>
      </c>
      <c r="I101">
        <f t="shared" si="3"/>
        <v>0.65</v>
      </c>
      <c r="J101">
        <f t="shared" si="4"/>
        <v>0</v>
      </c>
      <c r="K101">
        <f t="shared" si="5"/>
        <v>0</v>
      </c>
    </row>
  </sheetData>
  <autoFilter ref="J1:K101" xr:uid="{F51E052B-D058-2E49-974F-886314F7ED57}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7638-05FB-884A-876F-13ACBB7B4F85}">
  <sheetPr filterMode="1"/>
  <dimension ref="A1:Y157"/>
  <sheetViews>
    <sheetView zoomScale="119" workbookViewId="0">
      <selection activeCell="N13" sqref="N13:R16"/>
    </sheetView>
  </sheetViews>
  <sheetFormatPr baseColWidth="10" defaultRowHeight="16" x14ac:dyDescent="0.2"/>
  <cols>
    <col min="14" max="14" width="11" bestFit="1" customWidth="1"/>
    <col min="15" max="15" width="12.83203125" bestFit="1" customWidth="1"/>
    <col min="17" max="17" width="19.5" bestFit="1" customWidth="1"/>
    <col min="18" max="18" width="17.33203125" bestFit="1" customWidth="1"/>
    <col min="19" max="21" width="8" bestFit="1" customWidth="1"/>
    <col min="22" max="23" width="11" bestFit="1" customWidth="1"/>
    <col min="24" max="24" width="5.1640625" bestFit="1" customWidth="1"/>
    <col min="25" max="25" width="10.5" bestFit="1" customWidth="1"/>
  </cols>
  <sheetData>
    <row r="1" spans="1:25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3" t="s">
        <v>5</v>
      </c>
      <c r="H1" s="3" t="s">
        <v>6</v>
      </c>
      <c r="I1" t="s">
        <v>7</v>
      </c>
      <c r="J1" t="s">
        <v>92</v>
      </c>
      <c r="K1" t="s">
        <v>93</v>
      </c>
      <c r="L1" t="s">
        <v>101</v>
      </c>
      <c r="O1" t="s">
        <v>102</v>
      </c>
      <c r="Y1" s="6"/>
    </row>
    <row r="2" spans="1:25" x14ac:dyDescent="0.2">
      <c r="A2" s="4">
        <v>0.65</v>
      </c>
      <c r="B2" s="5">
        <v>0</v>
      </c>
      <c r="C2" t="s">
        <v>8</v>
      </c>
      <c r="D2" t="s">
        <v>9</v>
      </c>
      <c r="E2" t="s">
        <v>10</v>
      </c>
      <c r="G2" s="3" t="s">
        <v>42</v>
      </c>
      <c r="H2" s="6">
        <v>0.75</v>
      </c>
      <c r="I2">
        <f>_xlfn.XLOOKUP(G2,$C$2:$C$35,$A$2:$A$35)</f>
        <v>0.75</v>
      </c>
      <c r="J2">
        <f>H2-I2</f>
        <v>0</v>
      </c>
      <c r="K2">
        <f>IF(J2&lt;0,(J2*-1),J2)</f>
        <v>0</v>
      </c>
      <c r="L2" s="6">
        <v>0.70430000000000004</v>
      </c>
      <c r="M2">
        <f>J2-K2</f>
        <v>0</v>
      </c>
      <c r="N2">
        <v>1</v>
      </c>
      <c r="O2">
        <f>-N2*LOG(L2)</f>
        <v>0.15224231160766871</v>
      </c>
      <c r="Y2" s="6"/>
    </row>
    <row r="3" spans="1:25" x14ac:dyDescent="0.2">
      <c r="A3" s="4">
        <v>0.65</v>
      </c>
      <c r="B3">
        <v>5</v>
      </c>
      <c r="C3" t="s">
        <v>12</v>
      </c>
      <c r="D3" t="s">
        <v>13</v>
      </c>
      <c r="E3" t="s">
        <v>14</v>
      </c>
      <c r="G3" s="3" t="s">
        <v>48</v>
      </c>
      <c r="H3" s="6">
        <v>0.95</v>
      </c>
      <c r="I3">
        <f t="shared" ref="I3:I66" si="0">_xlfn.XLOOKUP(G3,$C$2:$C$35,$A$2:$A$35)</f>
        <v>0.95</v>
      </c>
      <c r="J3">
        <f t="shared" ref="J3:J66" si="1">H3-I3</f>
        <v>0</v>
      </c>
      <c r="K3">
        <f t="shared" ref="K3:K66" si="2">IF(J3&lt;0,(J3*-1),J3)</f>
        <v>0</v>
      </c>
      <c r="L3" s="6">
        <v>0.34250000000000003</v>
      </c>
      <c r="M3">
        <f t="shared" ref="M3:M66" si="3">J3-K3</f>
        <v>0</v>
      </c>
      <c r="N3">
        <f t="shared" ref="N3:N66" si="4">IF(M3=0,1,0)</f>
        <v>1</v>
      </c>
      <c r="O3">
        <f t="shared" ref="O3:O66" si="5">-N3*LOG(L3)</f>
        <v>0.4653394241715556</v>
      </c>
      <c r="Y3" s="6"/>
    </row>
    <row r="4" spans="1:25" x14ac:dyDescent="0.2">
      <c r="A4" s="4">
        <v>0.65</v>
      </c>
      <c r="B4">
        <v>10</v>
      </c>
      <c r="C4" t="s">
        <v>16</v>
      </c>
      <c r="D4" t="s">
        <v>17</v>
      </c>
      <c r="E4" t="s">
        <v>18</v>
      </c>
      <c r="G4" s="3" t="s">
        <v>12</v>
      </c>
      <c r="H4" s="6">
        <v>0.65</v>
      </c>
      <c r="I4">
        <f t="shared" si="0"/>
        <v>0.65</v>
      </c>
      <c r="J4">
        <f t="shared" si="1"/>
        <v>0</v>
      </c>
      <c r="K4">
        <f t="shared" si="2"/>
        <v>0</v>
      </c>
      <c r="L4" s="6">
        <v>0.75509999999999999</v>
      </c>
      <c r="M4">
        <f t="shared" si="3"/>
        <v>0</v>
      </c>
      <c r="N4">
        <f t="shared" si="4"/>
        <v>1</v>
      </c>
      <c r="O4">
        <f t="shared" si="5"/>
        <v>0.12199552973197486</v>
      </c>
      <c r="Y4" s="6"/>
    </row>
    <row r="5" spans="1:25" x14ac:dyDescent="0.2">
      <c r="A5" s="4">
        <v>0.65</v>
      </c>
      <c r="B5">
        <v>15</v>
      </c>
      <c r="C5" t="s">
        <v>19</v>
      </c>
      <c r="D5" t="s">
        <v>20</v>
      </c>
      <c r="E5" t="s">
        <v>21</v>
      </c>
      <c r="G5" s="3" t="s">
        <v>16</v>
      </c>
      <c r="H5" s="6">
        <v>0.65</v>
      </c>
      <c r="I5">
        <f t="shared" si="0"/>
        <v>0.65</v>
      </c>
      <c r="J5">
        <f t="shared" si="1"/>
        <v>0</v>
      </c>
      <c r="K5">
        <f t="shared" si="2"/>
        <v>0</v>
      </c>
      <c r="L5" s="6">
        <v>0.51</v>
      </c>
      <c r="M5">
        <f t="shared" si="3"/>
        <v>0</v>
      </c>
      <c r="N5">
        <f t="shared" si="4"/>
        <v>1</v>
      </c>
      <c r="O5">
        <f t="shared" si="5"/>
        <v>0.29242982390206362</v>
      </c>
      <c r="Y5" s="6"/>
    </row>
    <row r="6" spans="1:25" x14ac:dyDescent="0.2">
      <c r="A6" s="4">
        <v>0.65</v>
      </c>
      <c r="B6">
        <v>17.5</v>
      </c>
      <c r="C6" t="s">
        <v>23</v>
      </c>
      <c r="D6" s="4" t="s">
        <v>24</v>
      </c>
      <c r="E6" s="4" t="s">
        <v>25</v>
      </c>
      <c r="G6" s="3" t="s">
        <v>48</v>
      </c>
      <c r="H6" s="6">
        <v>0.95</v>
      </c>
      <c r="I6">
        <f t="shared" si="0"/>
        <v>0.95</v>
      </c>
      <c r="J6">
        <f t="shared" si="1"/>
        <v>0</v>
      </c>
      <c r="K6">
        <f t="shared" si="2"/>
        <v>0</v>
      </c>
      <c r="L6" s="6">
        <v>0.81479999999999997</v>
      </c>
      <c r="M6">
        <f t="shared" si="3"/>
        <v>0</v>
      </c>
      <c r="N6">
        <f t="shared" si="4"/>
        <v>1</v>
      </c>
      <c r="O6">
        <f t="shared" si="5"/>
        <v>8.8948979671873513E-2</v>
      </c>
      <c r="Y6" s="6"/>
    </row>
    <row r="7" spans="1:25" x14ac:dyDescent="0.2">
      <c r="A7" s="4">
        <v>0.65</v>
      </c>
      <c r="B7">
        <v>20</v>
      </c>
      <c r="C7" t="s">
        <v>27</v>
      </c>
      <c r="D7" t="s">
        <v>28</v>
      </c>
      <c r="E7" t="s">
        <v>29</v>
      </c>
      <c r="G7" s="3" t="s">
        <v>34</v>
      </c>
      <c r="H7" s="6">
        <v>0.85</v>
      </c>
      <c r="I7">
        <f t="shared" si="0"/>
        <v>0.85</v>
      </c>
      <c r="J7">
        <f t="shared" si="1"/>
        <v>0</v>
      </c>
      <c r="K7">
        <f t="shared" si="2"/>
        <v>0</v>
      </c>
      <c r="L7" s="6">
        <v>0.3876</v>
      </c>
      <c r="M7">
        <f t="shared" si="3"/>
        <v>0</v>
      </c>
      <c r="N7">
        <f t="shared" si="4"/>
        <v>1</v>
      </c>
      <c r="O7">
        <f t="shared" si="5"/>
        <v>0.41161623162127225</v>
      </c>
      <c r="Q7" t="s">
        <v>94</v>
      </c>
      <c r="Y7" s="6"/>
    </row>
    <row r="8" spans="1:25" x14ac:dyDescent="0.2">
      <c r="A8" s="4">
        <v>0.65</v>
      </c>
      <c r="B8" s="4">
        <v>22.5</v>
      </c>
      <c r="C8" t="s">
        <v>30</v>
      </c>
      <c r="D8" t="s">
        <v>31</v>
      </c>
      <c r="E8" t="s">
        <v>32</v>
      </c>
      <c r="G8" s="3" t="s">
        <v>79</v>
      </c>
      <c r="H8" s="6">
        <v>0.95</v>
      </c>
      <c r="I8">
        <f t="shared" si="0"/>
        <v>0.95</v>
      </c>
      <c r="J8">
        <f t="shared" si="1"/>
        <v>0</v>
      </c>
      <c r="K8">
        <f t="shared" si="2"/>
        <v>0</v>
      </c>
      <c r="L8" s="6">
        <v>0.3392</v>
      </c>
      <c r="M8">
        <f t="shared" si="3"/>
        <v>0</v>
      </c>
      <c r="N8">
        <f t="shared" si="4"/>
        <v>1</v>
      </c>
      <c r="O8">
        <f t="shared" si="5"/>
        <v>0.46954415641532377</v>
      </c>
      <c r="Q8" s="12">
        <f>AVERAGE(K2:K151)/0.3</f>
        <v>4.6666666666666683E-2</v>
      </c>
      <c r="Y8" s="6"/>
    </row>
    <row r="9" spans="1:25" x14ac:dyDescent="0.2">
      <c r="G9" s="3" t="s">
        <v>61</v>
      </c>
      <c r="H9" s="6">
        <v>0.85</v>
      </c>
      <c r="I9">
        <f t="shared" si="0"/>
        <v>0.85</v>
      </c>
      <c r="J9">
        <f t="shared" si="1"/>
        <v>0</v>
      </c>
      <c r="K9">
        <f t="shared" si="2"/>
        <v>0</v>
      </c>
      <c r="L9" s="6">
        <v>0.44059999999999999</v>
      </c>
      <c r="M9">
        <f t="shared" si="3"/>
        <v>0</v>
      </c>
      <c r="N9">
        <f t="shared" si="4"/>
        <v>1</v>
      </c>
      <c r="O9">
        <f t="shared" si="5"/>
        <v>0.35595550718525121</v>
      </c>
      <c r="Y9" s="6"/>
    </row>
    <row r="10" spans="1:25" x14ac:dyDescent="0.2">
      <c r="G10" s="3" t="s">
        <v>67</v>
      </c>
      <c r="H10" s="6">
        <v>0.95</v>
      </c>
      <c r="I10">
        <f t="shared" si="0"/>
        <v>0.85</v>
      </c>
      <c r="J10">
        <f t="shared" si="1"/>
        <v>9.9999999999999978E-2</v>
      </c>
      <c r="K10">
        <f t="shared" si="2"/>
        <v>9.9999999999999978E-2</v>
      </c>
      <c r="L10" s="6">
        <v>0.3856</v>
      </c>
      <c r="M10">
        <f t="shared" si="3"/>
        <v>0</v>
      </c>
      <c r="N10">
        <f t="shared" si="4"/>
        <v>1</v>
      </c>
      <c r="O10">
        <f>-N10*LOG(L10)</f>
        <v>0.41386297476920686</v>
      </c>
      <c r="Q10" s="7" t="s">
        <v>100</v>
      </c>
      <c r="R10" s="7" t="s">
        <v>98</v>
      </c>
      <c r="Y10" s="6"/>
    </row>
    <row r="11" spans="1:25" x14ac:dyDescent="0.2">
      <c r="A11" s="4">
        <v>0.75</v>
      </c>
      <c r="B11" s="5">
        <v>0</v>
      </c>
      <c r="C11" t="s">
        <v>15</v>
      </c>
      <c r="D11" t="s">
        <v>36</v>
      </c>
      <c r="E11" t="s">
        <v>37</v>
      </c>
      <c r="G11" s="3" t="s">
        <v>53</v>
      </c>
      <c r="H11" s="6">
        <v>0.75</v>
      </c>
      <c r="I11">
        <f t="shared" si="0"/>
        <v>0.75</v>
      </c>
      <c r="J11">
        <f t="shared" si="1"/>
        <v>0</v>
      </c>
      <c r="K11">
        <f t="shared" si="2"/>
        <v>0</v>
      </c>
      <c r="L11" s="6">
        <v>0.29759999999999998</v>
      </c>
      <c r="M11">
        <f t="shared" si="3"/>
        <v>0</v>
      </c>
      <c r="N11">
        <f t="shared" si="4"/>
        <v>1</v>
      </c>
      <c r="O11">
        <f>-N11*LOG(L11)</f>
        <v>0.52636707312615894</v>
      </c>
      <c r="Q11" s="7" t="s">
        <v>97</v>
      </c>
      <c r="R11">
        <v>0.65</v>
      </c>
      <c r="S11">
        <v>0.75</v>
      </c>
      <c r="T11">
        <v>0.85</v>
      </c>
      <c r="U11">
        <v>0.95</v>
      </c>
      <c r="V11" t="s">
        <v>95</v>
      </c>
      <c r="Y11" s="6"/>
    </row>
    <row r="12" spans="1:25" x14ac:dyDescent="0.2">
      <c r="A12" s="4">
        <v>0.75</v>
      </c>
      <c r="B12">
        <v>5</v>
      </c>
      <c r="C12" t="s">
        <v>39</v>
      </c>
      <c r="D12" t="s">
        <v>40</v>
      </c>
      <c r="E12" t="s">
        <v>41</v>
      </c>
      <c r="G12" s="3" t="s">
        <v>26</v>
      </c>
      <c r="H12" s="6">
        <v>0.85</v>
      </c>
      <c r="I12">
        <f t="shared" si="0"/>
        <v>0.85</v>
      </c>
      <c r="J12">
        <f t="shared" si="1"/>
        <v>0</v>
      </c>
      <c r="K12">
        <f t="shared" si="2"/>
        <v>0</v>
      </c>
      <c r="L12" s="6">
        <v>0.4456</v>
      </c>
      <c r="M12">
        <f t="shared" si="3"/>
        <v>0</v>
      </c>
      <c r="N12">
        <f t="shared" si="4"/>
        <v>1</v>
      </c>
      <c r="O12">
        <f>-N12*LOG(L12)</f>
        <v>0.35105481783432751</v>
      </c>
      <c r="Q12" s="8">
        <v>0.65</v>
      </c>
      <c r="R12" s="11">
        <v>1</v>
      </c>
      <c r="S12" s="9">
        <v>0</v>
      </c>
      <c r="T12" s="9">
        <v>0</v>
      </c>
      <c r="U12" s="9">
        <v>0</v>
      </c>
      <c r="V12" s="9">
        <v>1</v>
      </c>
      <c r="Y12" s="6"/>
    </row>
    <row r="13" spans="1:25" x14ac:dyDescent="0.2">
      <c r="A13" s="4">
        <v>0.75</v>
      </c>
      <c r="B13">
        <v>10</v>
      </c>
      <c r="C13" t="s">
        <v>42</v>
      </c>
      <c r="D13" t="s">
        <v>43</v>
      </c>
      <c r="E13" t="s">
        <v>44</v>
      </c>
      <c r="G13" s="3" t="s">
        <v>26</v>
      </c>
      <c r="H13" s="6">
        <v>0.85</v>
      </c>
      <c r="I13">
        <f t="shared" si="0"/>
        <v>0.85</v>
      </c>
      <c r="J13">
        <f t="shared" si="1"/>
        <v>0</v>
      </c>
      <c r="K13">
        <f t="shared" si="2"/>
        <v>0</v>
      </c>
      <c r="L13" s="6">
        <v>0.55120000000000002</v>
      </c>
      <c r="M13">
        <f t="shared" si="3"/>
        <v>0</v>
      </c>
      <c r="N13">
        <f t="shared" si="4"/>
        <v>1</v>
      </c>
      <c r="O13">
        <f t="shared" si="5"/>
        <v>0.25869079110043058</v>
      </c>
      <c r="Q13" s="8">
        <v>0.75</v>
      </c>
      <c r="R13" s="10">
        <v>2.5000000000000001E-2</v>
      </c>
      <c r="S13" s="11">
        <v>0.9</v>
      </c>
      <c r="T13" s="10">
        <v>7.4999999999999997E-2</v>
      </c>
      <c r="U13" s="9">
        <v>0</v>
      </c>
      <c r="V13" s="9">
        <v>1</v>
      </c>
      <c r="Y13" s="6"/>
    </row>
    <row r="14" spans="1:25" x14ac:dyDescent="0.2">
      <c r="A14" s="4">
        <v>0.75</v>
      </c>
      <c r="B14">
        <v>15</v>
      </c>
      <c r="C14" t="s">
        <v>45</v>
      </c>
      <c r="D14" t="s">
        <v>46</v>
      </c>
      <c r="E14" t="s">
        <v>47</v>
      </c>
      <c r="G14" s="3" t="s">
        <v>26</v>
      </c>
      <c r="H14" s="6">
        <v>0.85</v>
      </c>
      <c r="I14">
        <f t="shared" si="0"/>
        <v>0.85</v>
      </c>
      <c r="J14">
        <f t="shared" si="1"/>
        <v>0</v>
      </c>
      <c r="K14">
        <f t="shared" si="2"/>
        <v>0</v>
      </c>
      <c r="L14" s="6">
        <v>0.3921</v>
      </c>
      <c r="M14">
        <f t="shared" si="3"/>
        <v>0</v>
      </c>
      <c r="N14">
        <f t="shared" si="4"/>
        <v>1</v>
      </c>
      <c r="O14">
        <f t="shared" si="5"/>
        <v>0.40660315769979327</v>
      </c>
      <c r="Q14" s="8">
        <v>0.85</v>
      </c>
      <c r="R14" s="9">
        <v>0</v>
      </c>
      <c r="S14" s="10">
        <v>2.8571428571428571E-2</v>
      </c>
      <c r="T14" s="11">
        <v>0.77142857142857146</v>
      </c>
      <c r="U14" s="10">
        <v>0.2</v>
      </c>
      <c r="V14" s="9">
        <v>1</v>
      </c>
      <c r="Y14" s="6"/>
    </row>
    <row r="15" spans="1:25" x14ac:dyDescent="0.2">
      <c r="A15" s="4">
        <v>0.75</v>
      </c>
      <c r="B15">
        <v>17.5</v>
      </c>
      <c r="C15" t="s">
        <v>49</v>
      </c>
      <c r="D15" t="s">
        <v>50</v>
      </c>
      <c r="E15" t="s">
        <v>51</v>
      </c>
      <c r="G15" s="3" t="s">
        <v>67</v>
      </c>
      <c r="H15" s="6">
        <v>0.95</v>
      </c>
      <c r="I15">
        <f t="shared" si="0"/>
        <v>0.85</v>
      </c>
      <c r="J15">
        <f t="shared" si="1"/>
        <v>9.9999999999999978E-2</v>
      </c>
      <c r="K15">
        <f t="shared" si="2"/>
        <v>9.9999999999999978E-2</v>
      </c>
      <c r="L15" s="6">
        <v>0.37909999999999999</v>
      </c>
      <c r="M15">
        <f t="shared" si="3"/>
        <v>0</v>
      </c>
      <c r="N15">
        <f t="shared" si="4"/>
        <v>1</v>
      </c>
      <c r="O15">
        <f t="shared" si="5"/>
        <v>0.4212462155735654</v>
      </c>
      <c r="Q15" s="8">
        <v>0.95</v>
      </c>
      <c r="R15" s="9">
        <v>0</v>
      </c>
      <c r="S15" s="13">
        <v>8.5714285714285715E-2</v>
      </c>
      <c r="T15" s="10">
        <v>8.5714285714285715E-2</v>
      </c>
      <c r="U15" s="11">
        <v>0.82857142857142863</v>
      </c>
      <c r="V15" s="9">
        <v>1</v>
      </c>
      <c r="Y15" s="6"/>
    </row>
    <row r="16" spans="1:25" x14ac:dyDescent="0.2">
      <c r="A16" s="4">
        <v>0.75</v>
      </c>
      <c r="B16">
        <v>20</v>
      </c>
      <c r="C16" t="s">
        <v>53</v>
      </c>
      <c r="D16" t="s">
        <v>54</v>
      </c>
      <c r="E16" t="s">
        <v>55</v>
      </c>
      <c r="G16" s="3" t="s">
        <v>48</v>
      </c>
      <c r="H16" s="6">
        <v>0.95</v>
      </c>
      <c r="I16">
        <f t="shared" si="0"/>
        <v>0.95</v>
      </c>
      <c r="J16">
        <f t="shared" si="1"/>
        <v>0</v>
      </c>
      <c r="K16">
        <f t="shared" si="2"/>
        <v>0</v>
      </c>
      <c r="L16" s="6">
        <v>0.9123</v>
      </c>
      <c r="M16">
        <f t="shared" si="3"/>
        <v>0</v>
      </c>
      <c r="N16">
        <f t="shared" si="4"/>
        <v>1</v>
      </c>
      <c r="O16">
        <f t="shared" si="5"/>
        <v>3.9862325136205398E-2</v>
      </c>
      <c r="Q16" s="8" t="s">
        <v>95</v>
      </c>
      <c r="R16" s="9">
        <v>0.27333333333333332</v>
      </c>
      <c r="S16" s="9">
        <v>0.26666666666666666</v>
      </c>
      <c r="T16" s="9">
        <v>0.22</v>
      </c>
      <c r="U16" s="9">
        <v>0.24</v>
      </c>
      <c r="V16" s="9">
        <v>1</v>
      </c>
      <c r="Y16" s="6"/>
    </row>
    <row r="17" spans="1:25" x14ac:dyDescent="0.2">
      <c r="A17" s="4">
        <v>0.75</v>
      </c>
      <c r="B17">
        <v>22.5</v>
      </c>
      <c r="C17" t="s">
        <v>56</v>
      </c>
      <c r="D17" t="s">
        <v>57</v>
      </c>
      <c r="E17" t="s">
        <v>58</v>
      </c>
      <c r="G17" s="3" t="s">
        <v>30</v>
      </c>
      <c r="H17" s="6">
        <v>0.65</v>
      </c>
      <c r="I17">
        <f t="shared" si="0"/>
        <v>0.65</v>
      </c>
      <c r="J17">
        <f t="shared" si="1"/>
        <v>0</v>
      </c>
      <c r="K17">
        <f t="shared" si="2"/>
        <v>0</v>
      </c>
      <c r="L17" s="6">
        <v>0.41870000000000002</v>
      </c>
      <c r="M17">
        <f t="shared" si="3"/>
        <v>0</v>
      </c>
      <c r="N17">
        <f t="shared" si="4"/>
        <v>1</v>
      </c>
      <c r="O17">
        <f t="shared" si="5"/>
        <v>0.37809703910876952</v>
      </c>
      <c r="Y17" s="6"/>
    </row>
    <row r="18" spans="1:25" x14ac:dyDescent="0.2">
      <c r="G18" s="3" t="s">
        <v>22</v>
      </c>
      <c r="H18" s="6">
        <v>0.95</v>
      </c>
      <c r="I18">
        <f t="shared" si="0"/>
        <v>0.95</v>
      </c>
      <c r="J18">
        <f t="shared" si="1"/>
        <v>0</v>
      </c>
      <c r="K18">
        <f t="shared" si="2"/>
        <v>0</v>
      </c>
      <c r="L18" s="6">
        <v>0.65980000000000005</v>
      </c>
      <c r="M18">
        <f t="shared" si="3"/>
        <v>0</v>
      </c>
      <c r="N18">
        <f t="shared" si="4"/>
        <v>1</v>
      </c>
      <c r="O18">
        <f t="shared" si="5"/>
        <v>0.18058768879067488</v>
      </c>
      <c r="Y18" s="6"/>
    </row>
    <row r="19" spans="1:25" x14ac:dyDescent="0.2">
      <c r="G19" s="3" t="s">
        <v>38</v>
      </c>
      <c r="H19" s="6">
        <v>0.95</v>
      </c>
      <c r="I19">
        <f t="shared" si="0"/>
        <v>0.95</v>
      </c>
      <c r="J19">
        <f t="shared" si="1"/>
        <v>0</v>
      </c>
      <c r="K19">
        <f t="shared" si="2"/>
        <v>0</v>
      </c>
      <c r="L19" s="6">
        <v>0.89959999999999996</v>
      </c>
      <c r="M19">
        <f t="shared" si="3"/>
        <v>0</v>
      </c>
      <c r="N19">
        <f t="shared" si="4"/>
        <v>1</v>
      </c>
      <c r="O19">
        <f t="shared" si="5"/>
        <v>4.5950553236405449E-2</v>
      </c>
      <c r="Y19" s="6"/>
    </row>
    <row r="20" spans="1:25" x14ac:dyDescent="0.2">
      <c r="A20" s="4">
        <v>0.85</v>
      </c>
      <c r="B20" s="5">
        <v>0</v>
      </c>
      <c r="C20" t="s">
        <v>52</v>
      </c>
      <c r="D20" t="s">
        <v>59</v>
      </c>
      <c r="E20" t="s">
        <v>60</v>
      </c>
      <c r="G20" s="3" t="s">
        <v>45</v>
      </c>
      <c r="H20" s="6">
        <v>0.75</v>
      </c>
      <c r="I20">
        <f t="shared" si="0"/>
        <v>0.75</v>
      </c>
      <c r="J20">
        <f t="shared" si="1"/>
        <v>0</v>
      </c>
      <c r="K20">
        <f t="shared" si="2"/>
        <v>0</v>
      </c>
      <c r="L20" s="6">
        <v>0.4572</v>
      </c>
      <c r="M20">
        <f t="shared" si="3"/>
        <v>0</v>
      </c>
      <c r="N20">
        <f t="shared" si="4"/>
        <v>1</v>
      </c>
      <c r="O20">
        <f t="shared" si="5"/>
        <v>0.33989377827675588</v>
      </c>
      <c r="Y20" s="6"/>
    </row>
    <row r="21" spans="1:25" hidden="1" x14ac:dyDescent="0.2">
      <c r="A21" s="4">
        <v>0.85</v>
      </c>
      <c r="B21">
        <v>5</v>
      </c>
      <c r="C21" t="s">
        <v>61</v>
      </c>
      <c r="D21" t="s">
        <v>62</v>
      </c>
      <c r="E21" t="s">
        <v>63</v>
      </c>
      <c r="G21" s="3" t="s">
        <v>38</v>
      </c>
      <c r="H21" s="6">
        <v>0.75</v>
      </c>
      <c r="I21">
        <f t="shared" si="0"/>
        <v>0.95</v>
      </c>
      <c r="J21">
        <f t="shared" si="1"/>
        <v>-0.19999999999999996</v>
      </c>
      <c r="K21">
        <f t="shared" si="2"/>
        <v>0.19999999999999996</v>
      </c>
      <c r="L21" s="6">
        <v>0.93989999999999996</v>
      </c>
      <c r="M21">
        <f t="shared" si="3"/>
        <v>-0.39999999999999991</v>
      </c>
      <c r="N21">
        <f t="shared" si="4"/>
        <v>0</v>
      </c>
      <c r="O21">
        <f t="shared" si="5"/>
        <v>0</v>
      </c>
      <c r="Y21" s="6">
        <v>5.2999999999999999E-2</v>
      </c>
    </row>
    <row r="22" spans="1:25" x14ac:dyDescent="0.2">
      <c r="A22" s="4">
        <v>0.85</v>
      </c>
      <c r="B22">
        <v>10</v>
      </c>
      <c r="C22" t="s">
        <v>64</v>
      </c>
      <c r="D22" t="s">
        <v>65</v>
      </c>
      <c r="E22" t="s">
        <v>66</v>
      </c>
      <c r="G22" s="3" t="s">
        <v>34</v>
      </c>
      <c r="H22" s="6">
        <v>0.85</v>
      </c>
      <c r="I22">
        <f t="shared" si="0"/>
        <v>0.85</v>
      </c>
      <c r="J22">
        <f t="shared" si="1"/>
        <v>0</v>
      </c>
      <c r="K22">
        <f t="shared" si="2"/>
        <v>0</v>
      </c>
      <c r="L22" s="6">
        <v>0.36570000000000003</v>
      </c>
      <c r="M22">
        <f t="shared" si="3"/>
        <v>0</v>
      </c>
      <c r="N22">
        <f t="shared" si="4"/>
        <v>1</v>
      </c>
      <c r="O22">
        <f t="shared" si="5"/>
        <v>0.43687503966195562</v>
      </c>
      <c r="Y22" s="6"/>
    </row>
    <row r="23" spans="1:25" x14ac:dyDescent="0.2">
      <c r="A23" s="4">
        <v>0.85</v>
      </c>
      <c r="B23">
        <v>15</v>
      </c>
      <c r="C23" t="s">
        <v>67</v>
      </c>
      <c r="D23" t="s">
        <v>68</v>
      </c>
      <c r="E23" t="s">
        <v>69</v>
      </c>
      <c r="G23" s="3" t="s">
        <v>8</v>
      </c>
      <c r="H23" s="6">
        <v>0.65</v>
      </c>
      <c r="I23">
        <f t="shared" si="0"/>
        <v>0.65</v>
      </c>
      <c r="J23">
        <f t="shared" si="1"/>
        <v>0</v>
      </c>
      <c r="K23">
        <f t="shared" si="2"/>
        <v>0</v>
      </c>
      <c r="L23" s="6">
        <v>0.4415</v>
      </c>
      <c r="M23">
        <f t="shared" si="3"/>
        <v>0</v>
      </c>
      <c r="N23">
        <f t="shared" si="4"/>
        <v>1</v>
      </c>
      <c r="O23">
        <f t="shared" si="5"/>
        <v>0.35506929208641258</v>
      </c>
      <c r="Y23" s="6"/>
    </row>
    <row r="24" spans="1:25" x14ac:dyDescent="0.2">
      <c r="A24" s="4">
        <v>0.85</v>
      </c>
      <c r="B24">
        <v>17.5</v>
      </c>
      <c r="C24" t="s">
        <v>34</v>
      </c>
      <c r="D24" t="s">
        <v>70</v>
      </c>
      <c r="E24" t="s">
        <v>71</v>
      </c>
      <c r="G24" s="3" t="s">
        <v>11</v>
      </c>
      <c r="H24" s="6">
        <v>0.95</v>
      </c>
      <c r="I24">
        <f t="shared" si="0"/>
        <v>0.95</v>
      </c>
      <c r="J24">
        <f t="shared" si="1"/>
        <v>0</v>
      </c>
      <c r="K24">
        <f t="shared" si="2"/>
        <v>0</v>
      </c>
      <c r="L24" s="6">
        <v>0.4919</v>
      </c>
      <c r="M24">
        <f t="shared" si="3"/>
        <v>0</v>
      </c>
      <c r="N24">
        <f t="shared" si="4"/>
        <v>1</v>
      </c>
      <c r="O24">
        <f t="shared" si="5"/>
        <v>0.30812317744066869</v>
      </c>
      <c r="Y24" s="6"/>
    </row>
    <row r="25" spans="1:25" x14ac:dyDescent="0.2">
      <c r="A25" s="4">
        <v>0.85</v>
      </c>
      <c r="B25">
        <v>20</v>
      </c>
      <c r="C25" t="s">
        <v>72</v>
      </c>
      <c r="D25" t="s">
        <v>73</v>
      </c>
      <c r="E25" t="s">
        <v>74</v>
      </c>
      <c r="G25" s="3" t="s">
        <v>49</v>
      </c>
      <c r="H25" s="6">
        <v>0.75</v>
      </c>
      <c r="I25">
        <f t="shared" si="0"/>
        <v>0.75</v>
      </c>
      <c r="J25">
        <f t="shared" si="1"/>
        <v>0</v>
      </c>
      <c r="K25">
        <f t="shared" si="2"/>
        <v>0</v>
      </c>
      <c r="L25" s="6">
        <v>0.92269999999999996</v>
      </c>
      <c r="M25">
        <f t="shared" si="3"/>
        <v>0</v>
      </c>
      <c r="N25">
        <f t="shared" si="4"/>
        <v>1</v>
      </c>
      <c r="O25">
        <f t="shared" si="5"/>
        <v>3.4939479388801459E-2</v>
      </c>
      <c r="Y25" s="6"/>
    </row>
    <row r="26" spans="1:25" hidden="1" x14ac:dyDescent="0.2">
      <c r="A26" s="4">
        <v>0.85</v>
      </c>
      <c r="B26">
        <v>22.5</v>
      </c>
      <c r="C26" t="s">
        <v>26</v>
      </c>
      <c r="D26" t="s">
        <v>75</v>
      </c>
      <c r="E26" t="s">
        <v>76</v>
      </c>
      <c r="G26" s="3" t="s">
        <v>38</v>
      </c>
      <c r="H26" s="6">
        <v>0.75</v>
      </c>
      <c r="I26">
        <f t="shared" si="0"/>
        <v>0.95</v>
      </c>
      <c r="J26">
        <f t="shared" si="1"/>
        <v>-0.19999999999999996</v>
      </c>
      <c r="K26">
        <f t="shared" si="2"/>
        <v>0.19999999999999996</v>
      </c>
      <c r="L26" s="6">
        <v>0.64429999999999998</v>
      </c>
      <c r="M26">
        <f t="shared" si="3"/>
        <v>-0.39999999999999991</v>
      </c>
      <c r="N26">
        <f t="shared" si="4"/>
        <v>0</v>
      </c>
      <c r="O26">
        <f t="shared" si="5"/>
        <v>0</v>
      </c>
      <c r="Y26" s="6">
        <v>0</v>
      </c>
    </row>
    <row r="27" spans="1:25" x14ac:dyDescent="0.2">
      <c r="G27" s="3" t="s">
        <v>12</v>
      </c>
      <c r="H27" s="6">
        <v>0.65</v>
      </c>
      <c r="I27">
        <f t="shared" si="0"/>
        <v>0.65</v>
      </c>
      <c r="J27">
        <f t="shared" si="1"/>
        <v>0</v>
      </c>
      <c r="K27">
        <f t="shared" si="2"/>
        <v>0</v>
      </c>
      <c r="L27" s="6">
        <v>0.60619999999999996</v>
      </c>
      <c r="M27">
        <f t="shared" si="3"/>
        <v>0</v>
      </c>
      <c r="N27">
        <f t="shared" si="4"/>
        <v>1</v>
      </c>
      <c r="O27">
        <f t="shared" si="5"/>
        <v>0.21738406796839657</v>
      </c>
      <c r="Y27" s="6"/>
    </row>
    <row r="28" spans="1:25" x14ac:dyDescent="0.2">
      <c r="G28" s="3" t="s">
        <v>35</v>
      </c>
      <c r="H28" s="6">
        <v>0.95</v>
      </c>
      <c r="I28">
        <f t="shared" si="0"/>
        <v>0.95</v>
      </c>
      <c r="J28">
        <f t="shared" si="1"/>
        <v>0</v>
      </c>
      <c r="K28">
        <f t="shared" si="2"/>
        <v>0</v>
      </c>
      <c r="L28" s="6">
        <v>0.74039999999999995</v>
      </c>
      <c r="M28">
        <f t="shared" si="3"/>
        <v>0</v>
      </c>
      <c r="N28">
        <f t="shared" si="4"/>
        <v>1</v>
      </c>
      <c r="O28">
        <f t="shared" si="5"/>
        <v>0.13053358991913352</v>
      </c>
      <c r="Y28" s="6"/>
    </row>
    <row r="29" spans="1:25" x14ac:dyDescent="0.2">
      <c r="A29" s="4">
        <v>0.95</v>
      </c>
      <c r="B29" s="5">
        <v>0</v>
      </c>
      <c r="C29" t="s">
        <v>48</v>
      </c>
      <c r="D29" t="s">
        <v>77</v>
      </c>
      <c r="E29" t="s">
        <v>78</v>
      </c>
      <c r="G29" s="3" t="s">
        <v>8</v>
      </c>
      <c r="H29" s="6">
        <v>0.65</v>
      </c>
      <c r="I29">
        <f t="shared" si="0"/>
        <v>0.65</v>
      </c>
      <c r="J29">
        <f t="shared" si="1"/>
        <v>0</v>
      </c>
      <c r="K29">
        <f t="shared" si="2"/>
        <v>0</v>
      </c>
      <c r="L29" s="6">
        <v>0.44019999999999998</v>
      </c>
      <c r="M29">
        <f t="shared" si="3"/>
        <v>0</v>
      </c>
      <c r="N29">
        <f t="shared" si="4"/>
        <v>1</v>
      </c>
      <c r="O29">
        <f t="shared" si="5"/>
        <v>0.35634996178267087</v>
      </c>
      <c r="Y29" s="6"/>
    </row>
    <row r="30" spans="1:25" x14ac:dyDescent="0.2">
      <c r="A30" s="4">
        <v>0.95</v>
      </c>
      <c r="B30">
        <v>5</v>
      </c>
      <c r="C30" t="s">
        <v>79</v>
      </c>
      <c r="D30" t="s">
        <v>80</v>
      </c>
      <c r="E30" t="s">
        <v>81</v>
      </c>
      <c r="G30" s="3" t="s">
        <v>30</v>
      </c>
      <c r="H30" s="6">
        <v>0.65</v>
      </c>
      <c r="I30">
        <f t="shared" si="0"/>
        <v>0.65</v>
      </c>
      <c r="J30">
        <f t="shared" si="1"/>
        <v>0</v>
      </c>
      <c r="K30">
        <f t="shared" si="2"/>
        <v>0</v>
      </c>
      <c r="L30" s="6">
        <v>0.44230000000000003</v>
      </c>
      <c r="M30">
        <f t="shared" si="3"/>
        <v>0</v>
      </c>
      <c r="N30">
        <f t="shared" si="4"/>
        <v>1</v>
      </c>
      <c r="O30">
        <f>-N30*LOG(L30)</f>
        <v>0.35428306063039616</v>
      </c>
      <c r="Y30" s="6"/>
    </row>
    <row r="31" spans="1:25" x14ac:dyDescent="0.2">
      <c r="A31" s="4">
        <v>0.95</v>
      </c>
      <c r="B31">
        <v>10</v>
      </c>
      <c r="C31" t="s">
        <v>35</v>
      </c>
      <c r="D31" t="s">
        <v>82</v>
      </c>
      <c r="E31" t="s">
        <v>83</v>
      </c>
      <c r="G31" s="3" t="s">
        <v>56</v>
      </c>
      <c r="H31" s="6">
        <v>0.75</v>
      </c>
      <c r="I31">
        <f t="shared" si="0"/>
        <v>0.75</v>
      </c>
      <c r="J31">
        <f t="shared" si="1"/>
        <v>0</v>
      </c>
      <c r="K31">
        <f t="shared" si="2"/>
        <v>0</v>
      </c>
      <c r="L31" s="6">
        <v>0.60329999999999995</v>
      </c>
      <c r="M31">
        <f t="shared" si="3"/>
        <v>0</v>
      </c>
      <c r="N31">
        <f t="shared" si="4"/>
        <v>1</v>
      </c>
      <c r="O31">
        <f t="shared" si="5"/>
        <v>0.21946667468359565</v>
      </c>
      <c r="Y31" s="6"/>
    </row>
    <row r="32" spans="1:25" x14ac:dyDescent="0.2">
      <c r="A32" s="4">
        <v>0.95</v>
      </c>
      <c r="B32">
        <v>15</v>
      </c>
      <c r="C32" t="s">
        <v>33</v>
      </c>
      <c r="D32" t="s">
        <v>84</v>
      </c>
      <c r="E32" t="s">
        <v>85</v>
      </c>
      <c r="G32" s="3" t="s">
        <v>48</v>
      </c>
      <c r="H32" s="6">
        <v>0.95</v>
      </c>
      <c r="I32">
        <f t="shared" si="0"/>
        <v>0.95</v>
      </c>
      <c r="J32">
        <f t="shared" si="1"/>
        <v>0</v>
      </c>
      <c r="K32">
        <f t="shared" si="2"/>
        <v>0</v>
      </c>
      <c r="L32" s="6">
        <v>0.30120000000000002</v>
      </c>
      <c r="M32">
        <f t="shared" si="3"/>
        <v>0</v>
      </c>
      <c r="N32">
        <f t="shared" si="4"/>
        <v>1</v>
      </c>
      <c r="O32">
        <f t="shared" si="5"/>
        <v>0.52114503247133703</v>
      </c>
      <c r="Y32" s="6"/>
    </row>
    <row r="33" spans="1:25" x14ac:dyDescent="0.2">
      <c r="A33" s="4">
        <v>0.95</v>
      </c>
      <c r="B33">
        <v>17.5</v>
      </c>
      <c r="C33" t="s">
        <v>11</v>
      </c>
      <c r="D33" t="s">
        <v>86</v>
      </c>
      <c r="E33" t="s">
        <v>87</v>
      </c>
      <c r="G33" s="3" t="s">
        <v>61</v>
      </c>
      <c r="H33" s="6">
        <v>0.85</v>
      </c>
      <c r="I33">
        <f t="shared" si="0"/>
        <v>0.85</v>
      </c>
      <c r="J33">
        <f t="shared" si="1"/>
        <v>0</v>
      </c>
      <c r="K33">
        <f t="shared" si="2"/>
        <v>0</v>
      </c>
      <c r="L33" s="6">
        <v>0.85950000000000004</v>
      </c>
      <c r="M33">
        <f t="shared" si="3"/>
        <v>0</v>
      </c>
      <c r="N33">
        <f t="shared" si="4"/>
        <v>1</v>
      </c>
      <c r="O33">
        <f t="shared" si="5"/>
        <v>6.575411897692876E-2</v>
      </c>
      <c r="Y33" s="6"/>
    </row>
    <row r="34" spans="1:25" x14ac:dyDescent="0.2">
      <c r="A34" s="4">
        <v>0.95</v>
      </c>
      <c r="B34">
        <v>20</v>
      </c>
      <c r="C34" t="s">
        <v>22</v>
      </c>
      <c r="D34" t="s">
        <v>88</v>
      </c>
      <c r="E34" t="s">
        <v>89</v>
      </c>
      <c r="G34" s="3" t="s">
        <v>49</v>
      </c>
      <c r="H34" s="6">
        <v>0.75</v>
      </c>
      <c r="I34">
        <f t="shared" si="0"/>
        <v>0.75</v>
      </c>
      <c r="J34">
        <f t="shared" si="1"/>
        <v>0</v>
      </c>
      <c r="K34">
        <f t="shared" si="2"/>
        <v>0</v>
      </c>
      <c r="L34" s="6">
        <v>0.88029999999999997</v>
      </c>
      <c r="M34">
        <f t="shared" si="3"/>
        <v>0</v>
      </c>
      <c r="N34">
        <f t="shared" si="4"/>
        <v>1</v>
      </c>
      <c r="O34">
        <f t="shared" si="5"/>
        <v>5.5369298143721775E-2</v>
      </c>
      <c r="Y34" s="6"/>
    </row>
    <row r="35" spans="1:25" x14ac:dyDescent="0.2">
      <c r="A35" s="4">
        <v>0.95</v>
      </c>
      <c r="B35">
        <v>22.5</v>
      </c>
      <c r="C35" t="s">
        <v>38</v>
      </c>
      <c r="D35" t="s">
        <v>90</v>
      </c>
      <c r="E35" t="s">
        <v>91</v>
      </c>
      <c r="G35" s="3" t="s">
        <v>33</v>
      </c>
      <c r="H35" s="6">
        <v>0.95</v>
      </c>
      <c r="I35">
        <f t="shared" si="0"/>
        <v>0.95</v>
      </c>
      <c r="J35">
        <f t="shared" si="1"/>
        <v>0</v>
      </c>
      <c r="K35">
        <f t="shared" si="2"/>
        <v>0</v>
      </c>
      <c r="L35" s="6">
        <v>0.38669999999999999</v>
      </c>
      <c r="M35">
        <f t="shared" si="3"/>
        <v>0</v>
      </c>
      <c r="N35">
        <f t="shared" si="4"/>
        <v>1</v>
      </c>
      <c r="O35">
        <f t="shared" si="5"/>
        <v>0.41262582792693453</v>
      </c>
      <c r="Y35" s="6"/>
    </row>
    <row r="36" spans="1:25" x14ac:dyDescent="0.2">
      <c r="G36" s="3" t="s">
        <v>19</v>
      </c>
      <c r="H36" s="6">
        <v>0.65</v>
      </c>
      <c r="I36">
        <f t="shared" si="0"/>
        <v>0.65</v>
      </c>
      <c r="J36">
        <f t="shared" si="1"/>
        <v>0</v>
      </c>
      <c r="K36">
        <f t="shared" si="2"/>
        <v>0</v>
      </c>
      <c r="L36" s="6">
        <v>0.93979999999999997</v>
      </c>
      <c r="M36">
        <f t="shared" si="3"/>
        <v>0</v>
      </c>
      <c r="N36">
        <f t="shared" si="4"/>
        <v>1</v>
      </c>
      <c r="O36">
        <f t="shared" si="5"/>
        <v>2.6964559313066957E-2</v>
      </c>
      <c r="Y36" s="6"/>
    </row>
    <row r="37" spans="1:25" x14ac:dyDescent="0.2">
      <c r="G37" s="3" t="s">
        <v>39</v>
      </c>
      <c r="H37" s="6">
        <v>0.75</v>
      </c>
      <c r="I37">
        <f t="shared" si="0"/>
        <v>0.75</v>
      </c>
      <c r="J37">
        <f t="shared" si="1"/>
        <v>0</v>
      </c>
      <c r="K37">
        <f t="shared" si="2"/>
        <v>0</v>
      </c>
      <c r="L37" s="6">
        <v>0.50629999999999997</v>
      </c>
      <c r="M37">
        <f t="shared" si="3"/>
        <v>0</v>
      </c>
      <c r="N37">
        <f t="shared" si="4"/>
        <v>1</v>
      </c>
      <c r="O37">
        <f t="shared" si="5"/>
        <v>0.29559207261315906</v>
      </c>
      <c r="Y37" s="6"/>
    </row>
    <row r="38" spans="1:25" x14ac:dyDescent="0.2">
      <c r="G38" s="3" t="s">
        <v>52</v>
      </c>
      <c r="H38" s="6">
        <v>0.85</v>
      </c>
      <c r="I38">
        <f t="shared" si="0"/>
        <v>0.85</v>
      </c>
      <c r="J38">
        <f t="shared" si="1"/>
        <v>0</v>
      </c>
      <c r="K38">
        <f t="shared" si="2"/>
        <v>0</v>
      </c>
      <c r="L38" s="6">
        <v>0.92500000000000004</v>
      </c>
      <c r="M38">
        <f t="shared" si="3"/>
        <v>0</v>
      </c>
      <c r="N38">
        <f t="shared" si="4"/>
        <v>1</v>
      </c>
      <c r="O38">
        <f t="shared" si="5"/>
        <v>3.385826726096737E-2</v>
      </c>
      <c r="Y38" s="6"/>
    </row>
    <row r="39" spans="1:25" x14ac:dyDescent="0.2">
      <c r="G39" s="3" t="s">
        <v>53</v>
      </c>
      <c r="H39" s="6">
        <v>0.75</v>
      </c>
      <c r="I39">
        <f t="shared" si="0"/>
        <v>0.75</v>
      </c>
      <c r="J39">
        <f t="shared" si="1"/>
        <v>0</v>
      </c>
      <c r="K39">
        <f t="shared" si="2"/>
        <v>0</v>
      </c>
      <c r="L39" s="6">
        <v>0.3962</v>
      </c>
      <c r="M39">
        <f t="shared" si="3"/>
        <v>0</v>
      </c>
      <c r="N39">
        <f t="shared" si="4"/>
        <v>1</v>
      </c>
      <c r="O39">
        <f t="shared" si="5"/>
        <v>0.40208552879747173</v>
      </c>
      <c r="Y39" s="6"/>
    </row>
    <row r="40" spans="1:25" x14ac:dyDescent="0.2">
      <c r="G40" s="3" t="s">
        <v>27</v>
      </c>
      <c r="H40" s="6">
        <v>0.65</v>
      </c>
      <c r="I40">
        <f t="shared" si="0"/>
        <v>0.65</v>
      </c>
      <c r="J40">
        <f t="shared" si="1"/>
        <v>0</v>
      </c>
      <c r="K40">
        <f t="shared" si="2"/>
        <v>0</v>
      </c>
      <c r="L40" s="6">
        <v>0.44190000000000002</v>
      </c>
      <c r="M40">
        <f t="shared" si="3"/>
        <v>0</v>
      </c>
      <c r="N40">
        <f t="shared" si="4"/>
        <v>1</v>
      </c>
      <c r="O40">
        <f t="shared" si="5"/>
        <v>0.35467599843770664</v>
      </c>
      <c r="Y40" s="6"/>
    </row>
    <row r="41" spans="1:25" x14ac:dyDescent="0.2">
      <c r="G41" s="3" t="s">
        <v>53</v>
      </c>
      <c r="H41" s="6">
        <v>0.75</v>
      </c>
      <c r="I41">
        <f t="shared" si="0"/>
        <v>0.75</v>
      </c>
      <c r="J41">
        <f t="shared" si="1"/>
        <v>0</v>
      </c>
      <c r="K41">
        <f t="shared" si="2"/>
        <v>0</v>
      </c>
      <c r="L41" s="6">
        <v>0.34820000000000001</v>
      </c>
      <c r="M41">
        <f t="shared" si="3"/>
        <v>0</v>
      </c>
      <c r="N41">
        <f t="shared" si="4"/>
        <v>1</v>
      </c>
      <c r="O41">
        <f t="shared" si="5"/>
        <v>0.45817123321868758</v>
      </c>
      <c r="Y41" s="6"/>
    </row>
    <row r="42" spans="1:25" x14ac:dyDescent="0.2">
      <c r="G42" s="3" t="s">
        <v>72</v>
      </c>
      <c r="H42" s="6">
        <v>0.95</v>
      </c>
      <c r="I42">
        <f t="shared" si="0"/>
        <v>0.85</v>
      </c>
      <c r="J42">
        <f t="shared" si="1"/>
        <v>9.9999999999999978E-2</v>
      </c>
      <c r="K42">
        <f t="shared" si="2"/>
        <v>9.9999999999999978E-2</v>
      </c>
      <c r="L42" s="6">
        <v>0.28120000000000001</v>
      </c>
      <c r="M42">
        <f t="shared" si="3"/>
        <v>0</v>
      </c>
      <c r="N42">
        <f t="shared" si="4"/>
        <v>1</v>
      </c>
      <c r="O42">
        <f t="shared" si="5"/>
        <v>0.55098468365221365</v>
      </c>
      <c r="Y42" s="6"/>
    </row>
    <row r="43" spans="1:25" x14ac:dyDescent="0.2">
      <c r="G43" s="3" t="s">
        <v>22</v>
      </c>
      <c r="H43" s="6">
        <v>0.95</v>
      </c>
      <c r="I43">
        <f t="shared" si="0"/>
        <v>0.95</v>
      </c>
      <c r="J43">
        <f t="shared" si="1"/>
        <v>0</v>
      </c>
      <c r="K43">
        <f t="shared" si="2"/>
        <v>0</v>
      </c>
      <c r="L43" s="6">
        <v>0.38400000000000001</v>
      </c>
      <c r="M43">
        <f t="shared" si="3"/>
        <v>0</v>
      </c>
      <c r="N43">
        <f t="shared" si="4"/>
        <v>1</v>
      </c>
      <c r="O43">
        <f t="shared" si="5"/>
        <v>0.41566877563246918</v>
      </c>
      <c r="Y43" s="6"/>
    </row>
    <row r="44" spans="1:25" x14ac:dyDescent="0.2">
      <c r="G44" s="3" t="s">
        <v>61</v>
      </c>
      <c r="H44" s="6">
        <v>0.95</v>
      </c>
      <c r="I44">
        <f t="shared" si="0"/>
        <v>0.85</v>
      </c>
      <c r="J44">
        <f t="shared" si="1"/>
        <v>9.9999999999999978E-2</v>
      </c>
      <c r="K44">
        <f t="shared" si="2"/>
        <v>9.9999999999999978E-2</v>
      </c>
      <c r="L44" s="6">
        <v>0.76959999999999995</v>
      </c>
      <c r="M44">
        <f t="shared" si="3"/>
        <v>0</v>
      </c>
      <c r="N44">
        <f t="shared" si="4"/>
        <v>1</v>
      </c>
      <c r="O44">
        <f t="shared" si="5"/>
        <v>0.11373494097024348</v>
      </c>
      <c r="Y44" s="6"/>
    </row>
    <row r="45" spans="1:25" x14ac:dyDescent="0.2">
      <c r="G45" s="3" t="s">
        <v>67</v>
      </c>
      <c r="H45" s="6">
        <v>0.95</v>
      </c>
      <c r="I45">
        <f t="shared" si="0"/>
        <v>0.85</v>
      </c>
      <c r="J45">
        <f t="shared" si="1"/>
        <v>9.9999999999999978E-2</v>
      </c>
      <c r="K45">
        <f t="shared" si="2"/>
        <v>9.9999999999999978E-2</v>
      </c>
      <c r="L45" s="6">
        <v>0.30449999999999999</v>
      </c>
      <c r="M45">
        <f t="shared" si="3"/>
        <v>0</v>
      </c>
      <c r="N45">
        <f t="shared" si="4"/>
        <v>1</v>
      </c>
      <c r="O45">
        <f t="shared" si="5"/>
        <v>0.51641270303110587</v>
      </c>
      <c r="Y45" s="6"/>
    </row>
    <row r="46" spans="1:25" x14ac:dyDescent="0.2">
      <c r="G46" s="3" t="s">
        <v>67</v>
      </c>
      <c r="H46" s="6">
        <v>0.85</v>
      </c>
      <c r="I46">
        <f t="shared" si="0"/>
        <v>0.85</v>
      </c>
      <c r="J46">
        <f t="shared" si="1"/>
        <v>0</v>
      </c>
      <c r="K46">
        <f t="shared" si="2"/>
        <v>0</v>
      </c>
      <c r="L46" s="6">
        <v>0.4803</v>
      </c>
      <c r="M46">
        <f t="shared" si="3"/>
        <v>0</v>
      </c>
      <c r="N46">
        <f t="shared" si="4"/>
        <v>1</v>
      </c>
      <c r="O46">
        <f t="shared" si="5"/>
        <v>0.31848741336103781</v>
      </c>
      <c r="Y46" s="6"/>
    </row>
    <row r="47" spans="1:25" x14ac:dyDescent="0.2">
      <c r="G47" s="3" t="s">
        <v>15</v>
      </c>
      <c r="H47" s="6">
        <v>0.75</v>
      </c>
      <c r="I47">
        <f t="shared" si="0"/>
        <v>0.75</v>
      </c>
      <c r="J47">
        <f t="shared" si="1"/>
        <v>0</v>
      </c>
      <c r="K47">
        <f t="shared" si="2"/>
        <v>0</v>
      </c>
      <c r="L47" s="6">
        <v>0.75739999999999996</v>
      </c>
      <c r="M47">
        <f t="shared" si="3"/>
        <v>0</v>
      </c>
      <c r="N47">
        <f t="shared" si="4"/>
        <v>1</v>
      </c>
      <c r="O47">
        <f t="shared" si="5"/>
        <v>0.12067469921519255</v>
      </c>
      <c r="Y47" s="6"/>
    </row>
    <row r="48" spans="1:25" x14ac:dyDescent="0.2">
      <c r="G48" s="3" t="s">
        <v>11</v>
      </c>
      <c r="H48" s="6">
        <v>0.95</v>
      </c>
      <c r="I48">
        <f t="shared" si="0"/>
        <v>0.95</v>
      </c>
      <c r="J48">
        <f t="shared" si="1"/>
        <v>0</v>
      </c>
      <c r="K48">
        <f t="shared" si="2"/>
        <v>0</v>
      </c>
      <c r="L48" s="6">
        <v>0.47120000000000001</v>
      </c>
      <c r="M48">
        <f t="shared" si="3"/>
        <v>0</v>
      </c>
      <c r="N48">
        <f t="shared" si="4"/>
        <v>1</v>
      </c>
      <c r="O48">
        <f t="shared" si="5"/>
        <v>0.32679471822095474</v>
      </c>
      <c r="Y48" s="6"/>
    </row>
    <row r="49" spans="7:25" x14ac:dyDescent="0.2">
      <c r="G49" s="3" t="s">
        <v>45</v>
      </c>
      <c r="H49" s="6">
        <v>0.75</v>
      </c>
      <c r="I49">
        <f t="shared" si="0"/>
        <v>0.75</v>
      </c>
      <c r="J49">
        <f t="shared" si="1"/>
        <v>0</v>
      </c>
      <c r="K49">
        <f t="shared" si="2"/>
        <v>0</v>
      </c>
      <c r="L49" s="6">
        <v>0.4108</v>
      </c>
      <c r="M49">
        <f t="shared" si="3"/>
        <v>0</v>
      </c>
      <c r="N49">
        <f t="shared" si="4"/>
        <v>1</v>
      </c>
      <c r="O49">
        <f t="shared" si="5"/>
        <v>0.38636956507475939</v>
      </c>
      <c r="Y49" s="6"/>
    </row>
    <row r="50" spans="7:25" x14ac:dyDescent="0.2">
      <c r="G50" s="3" t="s">
        <v>45</v>
      </c>
      <c r="H50" s="6">
        <v>0.75</v>
      </c>
      <c r="I50">
        <f t="shared" si="0"/>
        <v>0.75</v>
      </c>
      <c r="J50">
        <f t="shared" si="1"/>
        <v>0</v>
      </c>
      <c r="K50">
        <f t="shared" si="2"/>
        <v>0</v>
      </c>
      <c r="L50" s="6">
        <v>0.61750000000000005</v>
      </c>
      <c r="M50">
        <f t="shared" si="3"/>
        <v>0</v>
      </c>
      <c r="N50">
        <f t="shared" si="4"/>
        <v>1</v>
      </c>
      <c r="O50">
        <f t="shared" si="5"/>
        <v>0.20936303806829662</v>
      </c>
      <c r="Y50" s="6"/>
    </row>
    <row r="51" spans="7:25" x14ac:dyDescent="0.2">
      <c r="G51" s="3" t="s">
        <v>45</v>
      </c>
      <c r="H51" s="6">
        <v>0.75</v>
      </c>
      <c r="I51">
        <f t="shared" si="0"/>
        <v>0.75</v>
      </c>
      <c r="J51">
        <f t="shared" si="1"/>
        <v>0</v>
      </c>
      <c r="K51">
        <f t="shared" si="2"/>
        <v>0</v>
      </c>
      <c r="L51" s="6">
        <v>0.33800000000000002</v>
      </c>
      <c r="M51">
        <f t="shared" si="3"/>
        <v>0</v>
      </c>
      <c r="N51">
        <f t="shared" si="4"/>
        <v>1</v>
      </c>
      <c r="O51">
        <f t="shared" si="5"/>
        <v>0.47108329972234525</v>
      </c>
      <c r="Y51" s="6"/>
    </row>
    <row r="52" spans="7:25" x14ac:dyDescent="0.2">
      <c r="G52" s="3" t="s">
        <v>22</v>
      </c>
      <c r="H52" s="6">
        <v>0.95</v>
      </c>
      <c r="I52">
        <f t="shared" si="0"/>
        <v>0.95</v>
      </c>
      <c r="J52">
        <f t="shared" si="1"/>
        <v>0</v>
      </c>
      <c r="K52">
        <f t="shared" si="2"/>
        <v>0</v>
      </c>
      <c r="L52" s="6">
        <v>0.68</v>
      </c>
      <c r="M52">
        <f t="shared" si="3"/>
        <v>0</v>
      </c>
      <c r="N52">
        <f t="shared" si="4"/>
        <v>1</v>
      </c>
      <c r="O52">
        <f t="shared" si="5"/>
        <v>0.16749108729376366</v>
      </c>
      <c r="Y52" s="6"/>
    </row>
    <row r="53" spans="7:25" x14ac:dyDescent="0.2">
      <c r="G53" s="3" t="s">
        <v>30</v>
      </c>
      <c r="H53" s="6">
        <v>0.65</v>
      </c>
      <c r="I53">
        <f t="shared" si="0"/>
        <v>0.65</v>
      </c>
      <c r="J53">
        <f t="shared" si="1"/>
        <v>0</v>
      </c>
      <c r="K53">
        <f t="shared" si="2"/>
        <v>0</v>
      </c>
      <c r="L53" s="6">
        <v>0.51839999999999997</v>
      </c>
      <c r="M53">
        <f t="shared" si="3"/>
        <v>0</v>
      </c>
      <c r="N53">
        <f t="shared" si="4"/>
        <v>1</v>
      </c>
      <c r="O53">
        <f t="shared" si="5"/>
        <v>0.28533500713746313</v>
      </c>
      <c r="Y53" s="6"/>
    </row>
    <row r="54" spans="7:25" hidden="1" x14ac:dyDescent="0.2">
      <c r="G54" s="3" t="s">
        <v>49</v>
      </c>
      <c r="H54" s="6">
        <v>0.65</v>
      </c>
      <c r="I54">
        <f t="shared" si="0"/>
        <v>0.75</v>
      </c>
      <c r="J54">
        <f t="shared" si="1"/>
        <v>-9.9999999999999978E-2</v>
      </c>
      <c r="K54">
        <f t="shared" si="2"/>
        <v>9.9999999999999978E-2</v>
      </c>
      <c r="L54" s="6">
        <v>0.4803</v>
      </c>
      <c r="M54">
        <f t="shared" si="3"/>
        <v>-0.19999999999999996</v>
      </c>
      <c r="N54">
        <f t="shared" si="4"/>
        <v>0</v>
      </c>
      <c r="O54">
        <f t="shared" si="5"/>
        <v>0</v>
      </c>
      <c r="Y54" s="6">
        <v>0</v>
      </c>
    </row>
    <row r="55" spans="7:25" x14ac:dyDescent="0.2">
      <c r="G55" s="3" t="s">
        <v>8</v>
      </c>
      <c r="H55" s="6">
        <v>0.65</v>
      </c>
      <c r="I55">
        <f t="shared" si="0"/>
        <v>0.65</v>
      </c>
      <c r="J55">
        <f t="shared" si="1"/>
        <v>0</v>
      </c>
      <c r="K55">
        <f t="shared" si="2"/>
        <v>0</v>
      </c>
      <c r="L55" s="6">
        <v>0.28239999999999998</v>
      </c>
      <c r="M55">
        <f t="shared" si="3"/>
        <v>0</v>
      </c>
      <c r="N55">
        <f t="shared" si="4"/>
        <v>1</v>
      </c>
      <c r="O55">
        <f t="shared" si="5"/>
        <v>0.54913530762023388</v>
      </c>
      <c r="Y55" s="6"/>
    </row>
    <row r="56" spans="7:25" hidden="1" x14ac:dyDescent="0.2">
      <c r="G56" s="3" t="s">
        <v>38</v>
      </c>
      <c r="H56" s="6">
        <v>0.75</v>
      </c>
      <c r="I56">
        <f t="shared" si="0"/>
        <v>0.95</v>
      </c>
      <c r="J56">
        <f t="shared" si="1"/>
        <v>-0.19999999999999996</v>
      </c>
      <c r="K56">
        <f t="shared" si="2"/>
        <v>0.19999999999999996</v>
      </c>
      <c r="L56" s="6">
        <v>0.34300000000000003</v>
      </c>
      <c r="M56">
        <f t="shared" si="3"/>
        <v>-0.39999999999999991</v>
      </c>
      <c r="N56">
        <f t="shared" si="4"/>
        <v>0</v>
      </c>
      <c r="O56">
        <f t="shared" si="5"/>
        <v>0</v>
      </c>
      <c r="Y56" s="6">
        <v>7.4399999999999994E-2</v>
      </c>
    </row>
    <row r="57" spans="7:25" x14ac:dyDescent="0.2">
      <c r="G57" s="3" t="s">
        <v>53</v>
      </c>
      <c r="H57" s="6">
        <v>0.75</v>
      </c>
      <c r="I57">
        <f t="shared" si="0"/>
        <v>0.75</v>
      </c>
      <c r="J57">
        <f t="shared" si="1"/>
        <v>0</v>
      </c>
      <c r="K57">
        <f t="shared" si="2"/>
        <v>0</v>
      </c>
      <c r="L57" s="6">
        <v>0.50339999999999996</v>
      </c>
      <c r="M57">
        <f t="shared" si="3"/>
        <v>0</v>
      </c>
      <c r="N57">
        <f t="shared" si="4"/>
        <v>1</v>
      </c>
      <c r="O57">
        <f t="shared" si="5"/>
        <v>0.29808678878765615</v>
      </c>
      <c r="Y57" s="6"/>
    </row>
    <row r="58" spans="7:25" x14ac:dyDescent="0.2">
      <c r="G58" s="3" t="s">
        <v>12</v>
      </c>
      <c r="H58" s="6">
        <v>0.65</v>
      </c>
      <c r="I58">
        <f t="shared" si="0"/>
        <v>0.65</v>
      </c>
      <c r="J58">
        <f t="shared" si="1"/>
        <v>0</v>
      </c>
      <c r="K58">
        <f t="shared" si="2"/>
        <v>0</v>
      </c>
      <c r="L58" s="6">
        <v>0.31459999999999999</v>
      </c>
      <c r="M58">
        <f t="shared" si="3"/>
        <v>0</v>
      </c>
      <c r="N58">
        <f t="shared" si="4"/>
        <v>1</v>
      </c>
      <c r="O58">
        <f t="shared" si="5"/>
        <v>0.50224128171273197</v>
      </c>
      <c r="Y58" s="6"/>
    </row>
    <row r="59" spans="7:25" x14ac:dyDescent="0.2">
      <c r="G59" s="3" t="s">
        <v>53</v>
      </c>
      <c r="H59" s="6">
        <v>0.85</v>
      </c>
      <c r="I59">
        <f t="shared" si="0"/>
        <v>0.75</v>
      </c>
      <c r="J59">
        <f t="shared" si="1"/>
        <v>9.9999999999999978E-2</v>
      </c>
      <c r="K59">
        <f t="shared" si="2"/>
        <v>9.9999999999999978E-2</v>
      </c>
      <c r="L59" s="6">
        <v>0.43909999999999999</v>
      </c>
      <c r="M59">
        <f t="shared" si="3"/>
        <v>0</v>
      </c>
      <c r="N59">
        <f t="shared" si="4"/>
        <v>1</v>
      </c>
      <c r="O59">
        <f t="shared" si="5"/>
        <v>0.35743656289561221</v>
      </c>
      <c r="Y59" s="6"/>
    </row>
    <row r="60" spans="7:25" x14ac:dyDescent="0.2">
      <c r="G60" s="3" t="s">
        <v>26</v>
      </c>
      <c r="H60" s="6">
        <v>0.85</v>
      </c>
      <c r="I60">
        <f t="shared" si="0"/>
        <v>0.85</v>
      </c>
      <c r="J60">
        <f t="shared" si="1"/>
        <v>0</v>
      </c>
      <c r="K60">
        <f t="shared" si="2"/>
        <v>0</v>
      </c>
      <c r="L60" s="6">
        <v>0.34389999999999998</v>
      </c>
      <c r="M60">
        <f t="shared" si="3"/>
        <v>0</v>
      </c>
      <c r="N60">
        <f t="shared" si="4"/>
        <v>1</v>
      </c>
      <c r="O60">
        <f t="shared" si="5"/>
        <v>0.46356782417798653</v>
      </c>
      <c r="Y60" s="6"/>
    </row>
    <row r="61" spans="7:25" x14ac:dyDescent="0.2">
      <c r="G61" s="3" t="s">
        <v>30</v>
      </c>
      <c r="H61" s="6">
        <v>0.65</v>
      </c>
      <c r="I61">
        <f t="shared" si="0"/>
        <v>0.65</v>
      </c>
      <c r="J61">
        <f t="shared" si="1"/>
        <v>0</v>
      </c>
      <c r="K61">
        <f t="shared" si="2"/>
        <v>0</v>
      </c>
      <c r="L61" s="6">
        <v>0.31869999999999998</v>
      </c>
      <c r="M61">
        <f t="shared" si="3"/>
        <v>0</v>
      </c>
      <c r="N61">
        <f t="shared" si="4"/>
        <v>1</v>
      </c>
      <c r="O61">
        <f t="shared" si="5"/>
        <v>0.49661793652626735</v>
      </c>
      <c r="Y61" s="6"/>
    </row>
    <row r="62" spans="7:25" x14ac:dyDescent="0.2">
      <c r="G62" s="3" t="s">
        <v>12</v>
      </c>
      <c r="H62" s="6">
        <v>0.65</v>
      </c>
      <c r="I62">
        <f t="shared" si="0"/>
        <v>0.65</v>
      </c>
      <c r="J62">
        <f t="shared" si="1"/>
        <v>0</v>
      </c>
      <c r="K62">
        <f t="shared" si="2"/>
        <v>0</v>
      </c>
      <c r="L62" s="6">
        <v>0.87029999999999996</v>
      </c>
      <c r="M62">
        <f t="shared" si="3"/>
        <v>0</v>
      </c>
      <c r="N62">
        <f t="shared" si="4"/>
        <v>1</v>
      </c>
      <c r="O62">
        <f t="shared" si="5"/>
        <v>6.0331016477673471E-2</v>
      </c>
      <c r="Y62" s="6"/>
    </row>
    <row r="63" spans="7:25" x14ac:dyDescent="0.2">
      <c r="G63" s="3" t="s">
        <v>30</v>
      </c>
      <c r="H63" s="6">
        <v>0.65</v>
      </c>
      <c r="I63">
        <f t="shared" si="0"/>
        <v>0.65</v>
      </c>
      <c r="J63">
        <f t="shared" si="1"/>
        <v>0</v>
      </c>
      <c r="K63">
        <f t="shared" si="2"/>
        <v>0</v>
      </c>
      <c r="L63" s="6">
        <v>0.30609999999999998</v>
      </c>
      <c r="M63">
        <f t="shared" si="3"/>
        <v>0</v>
      </c>
      <c r="N63">
        <f t="shared" si="4"/>
        <v>1</v>
      </c>
      <c r="O63">
        <f t="shared" si="5"/>
        <v>0.51413667040266542</v>
      </c>
      <c r="Y63" s="6"/>
    </row>
    <row r="64" spans="7:25" hidden="1" x14ac:dyDescent="0.2">
      <c r="G64" s="3" t="s">
        <v>33</v>
      </c>
      <c r="H64" s="6">
        <v>0.85</v>
      </c>
      <c r="I64">
        <f t="shared" si="0"/>
        <v>0.95</v>
      </c>
      <c r="J64">
        <f t="shared" si="1"/>
        <v>-9.9999999999999978E-2</v>
      </c>
      <c r="K64">
        <f t="shared" si="2"/>
        <v>9.9999999999999978E-2</v>
      </c>
      <c r="L64" s="6">
        <v>0.3241</v>
      </c>
      <c r="M64">
        <f t="shared" si="3"/>
        <v>-0.19999999999999996</v>
      </c>
      <c r="N64">
        <f t="shared" si="4"/>
        <v>0</v>
      </c>
      <c r="O64">
        <f t="shared" si="5"/>
        <v>0</v>
      </c>
      <c r="Y64" s="6">
        <v>0</v>
      </c>
    </row>
    <row r="65" spans="7:25" x14ac:dyDescent="0.2">
      <c r="G65" s="3" t="s">
        <v>8</v>
      </c>
      <c r="H65" s="6">
        <v>0.65</v>
      </c>
      <c r="I65">
        <f t="shared" si="0"/>
        <v>0.65</v>
      </c>
      <c r="J65">
        <f t="shared" si="1"/>
        <v>0</v>
      </c>
      <c r="K65">
        <f t="shared" si="2"/>
        <v>0</v>
      </c>
      <c r="L65" s="6">
        <v>0.51339999999999997</v>
      </c>
      <c r="M65">
        <f t="shared" si="3"/>
        <v>0</v>
      </c>
      <c r="N65">
        <f t="shared" si="4"/>
        <v>1</v>
      </c>
      <c r="O65">
        <f t="shared" si="5"/>
        <v>0.28954413566457549</v>
      </c>
      <c r="Y65" s="6"/>
    </row>
    <row r="66" spans="7:25" x14ac:dyDescent="0.2">
      <c r="G66" s="3" t="s">
        <v>15</v>
      </c>
      <c r="H66" s="6">
        <v>0.75</v>
      </c>
      <c r="I66">
        <f t="shared" si="0"/>
        <v>0.75</v>
      </c>
      <c r="J66">
        <f t="shared" si="1"/>
        <v>0</v>
      </c>
      <c r="K66">
        <f t="shared" si="2"/>
        <v>0</v>
      </c>
      <c r="L66" s="6">
        <v>0.3679</v>
      </c>
      <c r="M66">
        <f t="shared" si="3"/>
        <v>0</v>
      </c>
      <c r="N66">
        <f t="shared" si="4"/>
        <v>1</v>
      </c>
      <c r="O66">
        <f t="shared" si="5"/>
        <v>0.43427021216887302</v>
      </c>
      <c r="Y66" s="6"/>
    </row>
    <row r="67" spans="7:25" x14ac:dyDescent="0.2">
      <c r="G67" s="3" t="s">
        <v>33</v>
      </c>
      <c r="H67" s="6">
        <v>0.95</v>
      </c>
      <c r="I67">
        <f t="shared" ref="I67:I101" si="6">_xlfn.XLOOKUP(G67,$C$2:$C$35,$A$2:$A$35)</f>
        <v>0.95</v>
      </c>
      <c r="J67">
        <f t="shared" ref="J67:J101" si="7">H67-I67</f>
        <v>0</v>
      </c>
      <c r="K67">
        <f t="shared" ref="K67:K130" si="8">IF(J67&lt;0,(J67*-1),J67)</f>
        <v>0</v>
      </c>
      <c r="L67" s="6">
        <v>0.75790000000000002</v>
      </c>
      <c r="M67">
        <f t="shared" ref="M67:M130" si="9">J67-K67</f>
        <v>0</v>
      </c>
      <c r="N67">
        <f t="shared" ref="N67:N130" si="10">IF(M67=0,1,0)</f>
        <v>1</v>
      </c>
      <c r="O67">
        <f t="shared" ref="O67:O130" si="11">-N67*LOG(L67)</f>
        <v>0.12038809293414914</v>
      </c>
      <c r="Y67" s="6"/>
    </row>
    <row r="68" spans="7:25" x14ac:dyDescent="0.2">
      <c r="G68" s="3" t="s">
        <v>72</v>
      </c>
      <c r="H68" s="6">
        <v>0.85</v>
      </c>
      <c r="I68">
        <f t="shared" si="6"/>
        <v>0.85</v>
      </c>
      <c r="J68">
        <f t="shared" si="7"/>
        <v>0</v>
      </c>
      <c r="K68">
        <f t="shared" si="8"/>
        <v>0</v>
      </c>
      <c r="L68" s="6">
        <v>0.30630000000000002</v>
      </c>
      <c r="M68">
        <f t="shared" si="9"/>
        <v>0</v>
      </c>
      <c r="N68">
        <f t="shared" si="10"/>
        <v>1</v>
      </c>
      <c r="O68">
        <f t="shared" si="11"/>
        <v>0.5138530031934273</v>
      </c>
      <c r="Y68" s="6"/>
    </row>
    <row r="69" spans="7:25" hidden="1" x14ac:dyDescent="0.2">
      <c r="G69" s="3" t="s">
        <v>64</v>
      </c>
      <c r="H69" s="6">
        <v>0.75</v>
      </c>
      <c r="I69">
        <f t="shared" si="6"/>
        <v>0.85</v>
      </c>
      <c r="J69">
        <f t="shared" si="7"/>
        <v>-9.9999999999999978E-2</v>
      </c>
      <c r="K69">
        <f t="shared" si="8"/>
        <v>9.9999999999999978E-2</v>
      </c>
      <c r="L69" s="6">
        <v>0.38490000000000002</v>
      </c>
      <c r="M69">
        <f t="shared" si="9"/>
        <v>-0.19999999999999996</v>
      </c>
      <c r="N69">
        <f t="shared" si="10"/>
        <v>0</v>
      </c>
      <c r="O69">
        <f t="shared" si="11"/>
        <v>0</v>
      </c>
      <c r="Y69" s="6">
        <v>7.1199999999999999E-2</v>
      </c>
    </row>
    <row r="70" spans="7:25" x14ac:dyDescent="0.2">
      <c r="G70" s="3" t="s">
        <v>53</v>
      </c>
      <c r="H70" s="6">
        <v>0.75</v>
      </c>
      <c r="I70">
        <f t="shared" si="6"/>
        <v>0.75</v>
      </c>
      <c r="J70">
        <f t="shared" si="7"/>
        <v>0</v>
      </c>
      <c r="K70">
        <f t="shared" si="8"/>
        <v>0</v>
      </c>
      <c r="L70" s="6">
        <v>0.78790000000000004</v>
      </c>
      <c r="M70">
        <f t="shared" si="9"/>
        <v>0</v>
      </c>
      <c r="N70">
        <f t="shared" si="10"/>
        <v>1</v>
      </c>
      <c r="O70">
        <f t="shared" si="11"/>
        <v>0.10352889952072274</v>
      </c>
      <c r="Y70" s="6"/>
    </row>
    <row r="71" spans="7:25" x14ac:dyDescent="0.2">
      <c r="G71" s="3" t="s">
        <v>23</v>
      </c>
      <c r="H71" s="6">
        <v>0.65</v>
      </c>
      <c r="I71">
        <f t="shared" si="6"/>
        <v>0.65</v>
      </c>
      <c r="J71">
        <f t="shared" si="7"/>
        <v>0</v>
      </c>
      <c r="K71">
        <f t="shared" si="8"/>
        <v>0</v>
      </c>
      <c r="L71" s="6">
        <v>0.67869999999999997</v>
      </c>
      <c r="M71">
        <f t="shared" si="9"/>
        <v>0</v>
      </c>
      <c r="N71">
        <f t="shared" si="10"/>
        <v>1</v>
      </c>
      <c r="O71">
        <f t="shared" si="11"/>
        <v>0.1683221508085333</v>
      </c>
      <c r="Y71" s="6"/>
    </row>
    <row r="72" spans="7:25" x14ac:dyDescent="0.2">
      <c r="G72" s="3" t="s">
        <v>26</v>
      </c>
      <c r="H72" s="6">
        <v>0.85</v>
      </c>
      <c r="I72">
        <f t="shared" si="6"/>
        <v>0.85</v>
      </c>
      <c r="J72">
        <f t="shared" si="7"/>
        <v>0</v>
      </c>
      <c r="K72">
        <f t="shared" si="8"/>
        <v>0</v>
      </c>
      <c r="L72" s="6">
        <v>0.47989999999999999</v>
      </c>
      <c r="M72">
        <f t="shared" si="9"/>
        <v>0</v>
      </c>
      <c r="N72">
        <f t="shared" si="10"/>
        <v>1</v>
      </c>
      <c r="O72">
        <f t="shared" si="11"/>
        <v>0.31884925006757864</v>
      </c>
      <c r="Y72" s="6"/>
    </row>
    <row r="73" spans="7:25" x14ac:dyDescent="0.2">
      <c r="G73" s="3" t="s">
        <v>52</v>
      </c>
      <c r="H73" s="6">
        <v>0.85</v>
      </c>
      <c r="I73">
        <f t="shared" si="6"/>
        <v>0.85</v>
      </c>
      <c r="J73">
        <f t="shared" si="7"/>
        <v>0</v>
      </c>
      <c r="K73">
        <f t="shared" si="8"/>
        <v>0</v>
      </c>
      <c r="L73" s="6">
        <v>0.75119999999999998</v>
      </c>
      <c r="M73">
        <f t="shared" si="9"/>
        <v>0</v>
      </c>
      <c r="N73">
        <f t="shared" si="10"/>
        <v>1</v>
      </c>
      <c r="O73">
        <f t="shared" si="11"/>
        <v>0.1242444207419455</v>
      </c>
      <c r="Y73" s="6"/>
    </row>
    <row r="74" spans="7:25" x14ac:dyDescent="0.2">
      <c r="G74" s="3" t="s">
        <v>42</v>
      </c>
      <c r="H74" s="6">
        <v>0.75</v>
      </c>
      <c r="I74">
        <f t="shared" si="6"/>
        <v>0.75</v>
      </c>
      <c r="J74">
        <f t="shared" si="7"/>
        <v>0</v>
      </c>
      <c r="K74">
        <f t="shared" si="8"/>
        <v>0</v>
      </c>
      <c r="L74" s="6">
        <v>0.91710000000000003</v>
      </c>
      <c r="M74">
        <f t="shared" si="9"/>
        <v>0</v>
      </c>
      <c r="N74">
        <f t="shared" si="10"/>
        <v>1</v>
      </c>
      <c r="O74">
        <f t="shared" si="11"/>
        <v>3.758330655424872E-2</v>
      </c>
      <c r="Y74" s="6"/>
    </row>
    <row r="75" spans="7:25" x14ac:dyDescent="0.2">
      <c r="G75" s="3" t="s">
        <v>45</v>
      </c>
      <c r="H75" s="6">
        <v>0.85</v>
      </c>
      <c r="I75">
        <f t="shared" si="6"/>
        <v>0.75</v>
      </c>
      <c r="J75">
        <f t="shared" si="7"/>
        <v>9.9999999999999978E-2</v>
      </c>
      <c r="K75">
        <f t="shared" si="8"/>
        <v>9.9999999999999978E-2</v>
      </c>
      <c r="L75" s="6">
        <v>0.8881</v>
      </c>
      <c r="M75">
        <f t="shared" si="9"/>
        <v>0</v>
      </c>
      <c r="N75">
        <f t="shared" si="10"/>
        <v>1</v>
      </c>
      <c r="O75">
        <f t="shared" si="11"/>
        <v>5.1538129938716454E-2</v>
      </c>
      <c r="Y75" s="6"/>
    </row>
    <row r="76" spans="7:25" x14ac:dyDescent="0.2">
      <c r="G76" s="3" t="s">
        <v>39</v>
      </c>
      <c r="H76" s="6">
        <v>0.75</v>
      </c>
      <c r="I76">
        <f t="shared" si="6"/>
        <v>0.75</v>
      </c>
      <c r="J76">
        <f t="shared" si="7"/>
        <v>0</v>
      </c>
      <c r="K76">
        <f t="shared" si="8"/>
        <v>0</v>
      </c>
      <c r="L76" s="6">
        <v>0.37480000000000002</v>
      </c>
      <c r="M76">
        <f t="shared" si="9"/>
        <v>0</v>
      </c>
      <c r="N76">
        <f t="shared" si="10"/>
        <v>1</v>
      </c>
      <c r="O76">
        <f t="shared" si="11"/>
        <v>0.42620041778425932</v>
      </c>
      <c r="Y76" s="6"/>
    </row>
    <row r="77" spans="7:25" x14ac:dyDescent="0.2">
      <c r="G77" s="3" t="s">
        <v>64</v>
      </c>
      <c r="H77" s="6">
        <v>0.85</v>
      </c>
      <c r="I77">
        <f t="shared" si="6"/>
        <v>0.85</v>
      </c>
      <c r="J77">
        <f t="shared" si="7"/>
        <v>0</v>
      </c>
      <c r="K77">
        <f t="shared" si="8"/>
        <v>0</v>
      </c>
      <c r="L77" s="6">
        <v>0.46760000000000002</v>
      </c>
      <c r="M77">
        <f t="shared" si="9"/>
        <v>0</v>
      </c>
      <c r="N77">
        <f t="shared" si="10"/>
        <v>1</v>
      </c>
      <c r="O77">
        <f t="shared" si="11"/>
        <v>0.33012549751019749</v>
      </c>
      <c r="Y77" s="6"/>
    </row>
    <row r="78" spans="7:25" x14ac:dyDescent="0.2">
      <c r="G78" s="3" t="s">
        <v>39</v>
      </c>
      <c r="H78" s="6">
        <v>0.75</v>
      </c>
      <c r="I78">
        <f t="shared" si="6"/>
        <v>0.75</v>
      </c>
      <c r="J78">
        <f t="shared" si="7"/>
        <v>0</v>
      </c>
      <c r="K78">
        <f t="shared" si="8"/>
        <v>0</v>
      </c>
      <c r="L78" s="6">
        <v>0.26850000000000002</v>
      </c>
      <c r="M78">
        <f t="shared" si="9"/>
        <v>0</v>
      </c>
      <c r="N78">
        <f t="shared" si="10"/>
        <v>1</v>
      </c>
      <c r="O78">
        <f t="shared" si="11"/>
        <v>0.57105570996442556</v>
      </c>
      <c r="Y78" s="6"/>
    </row>
    <row r="79" spans="7:25" x14ac:dyDescent="0.2">
      <c r="G79" s="3" t="s">
        <v>45</v>
      </c>
      <c r="H79" s="6">
        <v>0.75</v>
      </c>
      <c r="I79">
        <f t="shared" si="6"/>
        <v>0.75</v>
      </c>
      <c r="J79">
        <f t="shared" si="7"/>
        <v>0</v>
      </c>
      <c r="K79">
        <f t="shared" si="8"/>
        <v>0</v>
      </c>
      <c r="L79" s="6">
        <v>0.31219999999999998</v>
      </c>
      <c r="M79">
        <f t="shared" si="9"/>
        <v>0</v>
      </c>
      <c r="N79">
        <f t="shared" si="10"/>
        <v>1</v>
      </c>
      <c r="O79">
        <f t="shared" si="11"/>
        <v>0.50556710127360138</v>
      </c>
      <c r="Y79" s="6"/>
    </row>
    <row r="80" spans="7:25" x14ac:dyDescent="0.2">
      <c r="G80" s="3" t="s">
        <v>52</v>
      </c>
      <c r="H80" s="6">
        <v>0.85</v>
      </c>
      <c r="I80">
        <f t="shared" si="6"/>
        <v>0.85</v>
      </c>
      <c r="J80">
        <f t="shared" si="7"/>
        <v>0</v>
      </c>
      <c r="K80">
        <f t="shared" si="8"/>
        <v>0</v>
      </c>
      <c r="L80" s="6">
        <v>0.4133</v>
      </c>
      <c r="M80">
        <f t="shared" si="9"/>
        <v>0</v>
      </c>
      <c r="N80">
        <f t="shared" si="10"/>
        <v>1</v>
      </c>
      <c r="O80">
        <f t="shared" si="11"/>
        <v>0.3837345947182918</v>
      </c>
      <c r="Y80" s="6"/>
    </row>
    <row r="81" spans="7:25" x14ac:dyDescent="0.2">
      <c r="G81" s="3" t="s">
        <v>8</v>
      </c>
      <c r="H81" s="6">
        <v>0.65</v>
      </c>
      <c r="I81">
        <f t="shared" si="6"/>
        <v>0.65</v>
      </c>
      <c r="J81">
        <f t="shared" si="7"/>
        <v>0</v>
      </c>
      <c r="K81">
        <f t="shared" si="8"/>
        <v>0</v>
      </c>
      <c r="L81" s="6">
        <v>0.51439999999999997</v>
      </c>
      <c r="M81">
        <f t="shared" si="9"/>
        <v>0</v>
      </c>
      <c r="N81">
        <f t="shared" si="10"/>
        <v>1</v>
      </c>
      <c r="O81">
        <f t="shared" si="11"/>
        <v>0.28869904008383435</v>
      </c>
      <c r="Y81" s="6"/>
    </row>
    <row r="82" spans="7:25" hidden="1" x14ac:dyDescent="0.2">
      <c r="G82" s="3" t="s">
        <v>33</v>
      </c>
      <c r="H82" s="6">
        <v>0.85</v>
      </c>
      <c r="I82">
        <f t="shared" si="6"/>
        <v>0.95</v>
      </c>
      <c r="J82">
        <f t="shared" si="7"/>
        <v>-9.9999999999999978E-2</v>
      </c>
      <c r="K82">
        <f t="shared" si="8"/>
        <v>9.9999999999999978E-2</v>
      </c>
      <c r="L82" s="6">
        <v>0.28749999999999998</v>
      </c>
      <c r="M82">
        <f t="shared" si="9"/>
        <v>-0.19999999999999996</v>
      </c>
      <c r="N82">
        <f t="shared" si="10"/>
        <v>0</v>
      </c>
      <c r="O82">
        <f t="shared" si="11"/>
        <v>0</v>
      </c>
      <c r="Y82" s="6">
        <v>0.1104</v>
      </c>
    </row>
    <row r="83" spans="7:25" x14ac:dyDescent="0.2">
      <c r="G83" s="3" t="s">
        <v>33</v>
      </c>
      <c r="H83" s="6">
        <v>0.95</v>
      </c>
      <c r="I83">
        <f t="shared" si="6"/>
        <v>0.95</v>
      </c>
      <c r="J83">
        <f t="shared" si="7"/>
        <v>0</v>
      </c>
      <c r="K83">
        <f t="shared" si="8"/>
        <v>0</v>
      </c>
      <c r="L83" s="6">
        <v>0.4088</v>
      </c>
      <c r="M83">
        <f t="shared" si="9"/>
        <v>0</v>
      </c>
      <c r="N83">
        <f t="shared" si="10"/>
        <v>1</v>
      </c>
      <c r="O83">
        <f t="shared" si="11"/>
        <v>0.3884891128733437</v>
      </c>
      <c r="Y83" s="6"/>
    </row>
    <row r="84" spans="7:25" x14ac:dyDescent="0.2">
      <c r="G84" s="3" t="s">
        <v>15</v>
      </c>
      <c r="H84" s="6">
        <v>0.75</v>
      </c>
      <c r="I84">
        <f t="shared" si="6"/>
        <v>0.75</v>
      </c>
      <c r="J84">
        <f t="shared" si="7"/>
        <v>0</v>
      </c>
      <c r="K84">
        <f t="shared" si="8"/>
        <v>0</v>
      </c>
      <c r="L84" s="6">
        <v>0.71950000000000003</v>
      </c>
      <c r="M84">
        <f t="shared" si="9"/>
        <v>0</v>
      </c>
      <c r="N84">
        <f t="shared" si="10"/>
        <v>1</v>
      </c>
      <c r="O84">
        <f t="shared" si="11"/>
        <v>0.14296920172737598</v>
      </c>
      <c r="Y84" s="6"/>
    </row>
    <row r="85" spans="7:25" x14ac:dyDescent="0.2">
      <c r="G85" s="3" t="s">
        <v>19</v>
      </c>
      <c r="H85" s="6">
        <v>0.65</v>
      </c>
      <c r="I85">
        <f t="shared" si="6"/>
        <v>0.65</v>
      </c>
      <c r="J85">
        <f t="shared" si="7"/>
        <v>0</v>
      </c>
      <c r="K85">
        <f t="shared" si="8"/>
        <v>0</v>
      </c>
      <c r="L85" s="6">
        <v>0.92169999999999996</v>
      </c>
      <c r="M85">
        <f t="shared" si="9"/>
        <v>0</v>
      </c>
      <c r="N85">
        <f t="shared" si="10"/>
        <v>1</v>
      </c>
      <c r="O85">
        <f t="shared" si="11"/>
        <v>3.5410412510096703E-2</v>
      </c>
      <c r="Y85" s="6"/>
    </row>
    <row r="86" spans="7:25" x14ac:dyDescent="0.2">
      <c r="G86" s="3" t="s">
        <v>49</v>
      </c>
      <c r="H86" s="6">
        <v>0.75</v>
      </c>
      <c r="I86">
        <f t="shared" si="6"/>
        <v>0.75</v>
      </c>
      <c r="J86">
        <f t="shared" si="7"/>
        <v>0</v>
      </c>
      <c r="K86">
        <f t="shared" si="8"/>
        <v>0</v>
      </c>
      <c r="L86" s="6">
        <v>0.27300000000000002</v>
      </c>
      <c r="M86">
        <f t="shared" si="9"/>
        <v>0</v>
      </c>
      <c r="N86">
        <f t="shared" si="10"/>
        <v>1</v>
      </c>
      <c r="O86">
        <f t="shared" si="11"/>
        <v>0.56383735295924398</v>
      </c>
      <c r="Y86" s="6"/>
    </row>
    <row r="87" spans="7:25" x14ac:dyDescent="0.2">
      <c r="G87" s="3" t="s">
        <v>12</v>
      </c>
      <c r="H87" s="6">
        <v>0.65</v>
      </c>
      <c r="I87">
        <f t="shared" si="6"/>
        <v>0.65</v>
      </c>
      <c r="J87">
        <f t="shared" si="7"/>
        <v>0</v>
      </c>
      <c r="K87">
        <f t="shared" si="8"/>
        <v>0</v>
      </c>
      <c r="L87" s="6">
        <v>0.30020000000000002</v>
      </c>
      <c r="M87">
        <f t="shared" si="9"/>
        <v>0</v>
      </c>
      <c r="N87">
        <f t="shared" si="10"/>
        <v>1</v>
      </c>
      <c r="O87">
        <f t="shared" si="11"/>
        <v>0.52258931209274839</v>
      </c>
      <c r="Y87" s="6"/>
    </row>
    <row r="88" spans="7:25" x14ac:dyDescent="0.2">
      <c r="G88" s="3" t="s">
        <v>79</v>
      </c>
      <c r="H88" s="6">
        <v>0.95</v>
      </c>
      <c r="I88">
        <f t="shared" si="6"/>
        <v>0.95</v>
      </c>
      <c r="J88">
        <f t="shared" si="7"/>
        <v>0</v>
      </c>
      <c r="K88">
        <f t="shared" si="8"/>
        <v>0</v>
      </c>
      <c r="L88" s="6">
        <v>0.90620000000000001</v>
      </c>
      <c r="M88">
        <f t="shared" si="9"/>
        <v>0</v>
      </c>
      <c r="N88">
        <f t="shared" si="10"/>
        <v>1</v>
      </c>
      <c r="O88">
        <f t="shared" si="11"/>
        <v>4.2775942156832995E-2</v>
      </c>
      <c r="Y88" s="6"/>
    </row>
    <row r="89" spans="7:25" x14ac:dyDescent="0.2">
      <c r="G89" s="3" t="s">
        <v>38</v>
      </c>
      <c r="H89" s="6">
        <v>0.95</v>
      </c>
      <c r="I89">
        <f t="shared" si="6"/>
        <v>0.95</v>
      </c>
      <c r="J89">
        <f t="shared" si="7"/>
        <v>0</v>
      </c>
      <c r="K89">
        <f t="shared" si="8"/>
        <v>0</v>
      </c>
      <c r="L89" s="6">
        <v>0.48199999999999998</v>
      </c>
      <c r="M89">
        <f t="shared" si="9"/>
        <v>0</v>
      </c>
      <c r="N89">
        <f t="shared" si="10"/>
        <v>1</v>
      </c>
      <c r="O89">
        <f t="shared" si="11"/>
        <v>0.31695296176115045</v>
      </c>
      <c r="Y89" s="6"/>
    </row>
    <row r="90" spans="7:25" x14ac:dyDescent="0.2">
      <c r="G90" s="3" t="s">
        <v>16</v>
      </c>
      <c r="H90" s="6">
        <v>0.65</v>
      </c>
      <c r="I90">
        <f t="shared" si="6"/>
        <v>0.65</v>
      </c>
      <c r="J90">
        <f t="shared" si="7"/>
        <v>0</v>
      </c>
      <c r="K90">
        <f t="shared" si="8"/>
        <v>0</v>
      </c>
      <c r="L90" s="6">
        <v>0.5161</v>
      </c>
      <c r="M90">
        <f t="shared" si="9"/>
        <v>0</v>
      </c>
      <c r="N90">
        <f t="shared" si="10"/>
        <v>1</v>
      </c>
      <c r="O90">
        <f t="shared" si="11"/>
        <v>0.28726614093004815</v>
      </c>
      <c r="Y90" s="6"/>
    </row>
    <row r="91" spans="7:25" x14ac:dyDescent="0.2">
      <c r="G91" s="3" t="s">
        <v>35</v>
      </c>
      <c r="H91" s="6">
        <v>0.95</v>
      </c>
      <c r="I91">
        <f t="shared" si="6"/>
        <v>0.95</v>
      </c>
      <c r="J91">
        <f t="shared" si="7"/>
        <v>0</v>
      </c>
      <c r="K91">
        <f t="shared" si="8"/>
        <v>0</v>
      </c>
      <c r="L91" s="6">
        <v>0.62090000000000001</v>
      </c>
      <c r="M91">
        <f t="shared" si="9"/>
        <v>0</v>
      </c>
      <c r="N91">
        <f t="shared" si="10"/>
        <v>1</v>
      </c>
      <c r="O91">
        <f t="shared" si="11"/>
        <v>0.20697834015401678</v>
      </c>
      <c r="Y91" s="6"/>
    </row>
    <row r="92" spans="7:25" x14ac:dyDescent="0.2">
      <c r="G92" s="3" t="s">
        <v>34</v>
      </c>
      <c r="H92" s="6">
        <v>0.85</v>
      </c>
      <c r="I92">
        <f t="shared" si="6"/>
        <v>0.85</v>
      </c>
      <c r="J92">
        <f t="shared" si="7"/>
        <v>0</v>
      </c>
      <c r="K92">
        <f t="shared" si="8"/>
        <v>0</v>
      </c>
      <c r="L92" s="6">
        <v>0.45140000000000002</v>
      </c>
      <c r="M92">
        <f t="shared" si="9"/>
        <v>0</v>
      </c>
      <c r="N92">
        <f t="shared" si="10"/>
        <v>1</v>
      </c>
      <c r="O92">
        <f t="shared" si="11"/>
        <v>0.34543844525825673</v>
      </c>
      <c r="Y92" s="6"/>
    </row>
    <row r="93" spans="7:25" x14ac:dyDescent="0.2">
      <c r="G93" s="3" t="s">
        <v>64</v>
      </c>
      <c r="H93" s="6">
        <v>0.85</v>
      </c>
      <c r="I93">
        <f t="shared" si="6"/>
        <v>0.85</v>
      </c>
      <c r="J93">
        <f t="shared" si="7"/>
        <v>0</v>
      </c>
      <c r="K93">
        <f t="shared" si="8"/>
        <v>0</v>
      </c>
      <c r="L93" s="6">
        <v>0.25850000000000001</v>
      </c>
      <c r="M93">
        <f t="shared" si="9"/>
        <v>0</v>
      </c>
      <c r="N93">
        <f t="shared" si="10"/>
        <v>1</v>
      </c>
      <c r="O93">
        <f t="shared" si="11"/>
        <v>0.5875394525700387</v>
      </c>
      <c r="Y93" s="6"/>
    </row>
    <row r="94" spans="7:25" x14ac:dyDescent="0.2">
      <c r="G94" s="3" t="s">
        <v>12</v>
      </c>
      <c r="H94" s="6">
        <v>0.65</v>
      </c>
      <c r="I94">
        <f t="shared" si="6"/>
        <v>0.65</v>
      </c>
      <c r="J94">
        <f t="shared" si="7"/>
        <v>0</v>
      </c>
      <c r="K94">
        <f t="shared" si="8"/>
        <v>0</v>
      </c>
      <c r="L94" s="6">
        <v>0.8679</v>
      </c>
      <c r="M94">
        <f t="shared" si="9"/>
        <v>0</v>
      </c>
      <c r="N94">
        <f t="shared" si="10"/>
        <v>1</v>
      </c>
      <c r="O94">
        <f t="shared" si="11"/>
        <v>6.1530311632354652E-2</v>
      </c>
      <c r="Y94" s="6"/>
    </row>
    <row r="95" spans="7:25" x14ac:dyDescent="0.2">
      <c r="G95" s="3" t="s">
        <v>16</v>
      </c>
      <c r="H95" s="6">
        <v>0.65</v>
      </c>
      <c r="I95">
        <f t="shared" si="6"/>
        <v>0.65</v>
      </c>
      <c r="J95">
        <f t="shared" si="7"/>
        <v>0</v>
      </c>
      <c r="K95">
        <f t="shared" si="8"/>
        <v>0</v>
      </c>
      <c r="L95" s="6">
        <v>0.35339999999999999</v>
      </c>
      <c r="M95">
        <f t="shared" si="9"/>
        <v>0</v>
      </c>
      <c r="N95">
        <f t="shared" si="10"/>
        <v>1</v>
      </c>
      <c r="O95">
        <f t="shared" si="11"/>
        <v>0.45173345482925475</v>
      </c>
      <c r="Y95" s="6"/>
    </row>
    <row r="96" spans="7:25" x14ac:dyDescent="0.2">
      <c r="G96" s="3" t="s">
        <v>61</v>
      </c>
      <c r="H96" s="6">
        <v>0.85</v>
      </c>
      <c r="I96">
        <f t="shared" si="6"/>
        <v>0.85</v>
      </c>
      <c r="J96">
        <f t="shared" si="7"/>
        <v>0</v>
      </c>
      <c r="K96">
        <f t="shared" si="8"/>
        <v>0</v>
      </c>
      <c r="L96" s="6">
        <v>0.68530000000000002</v>
      </c>
      <c r="M96">
        <f t="shared" si="9"/>
        <v>0</v>
      </c>
      <c r="N96">
        <f t="shared" si="10"/>
        <v>1</v>
      </c>
      <c r="O96">
        <f t="shared" si="11"/>
        <v>0.16411926818260533</v>
      </c>
      <c r="Y96" s="6"/>
    </row>
    <row r="97" spans="7:25" x14ac:dyDescent="0.2">
      <c r="G97" s="3" t="s">
        <v>61</v>
      </c>
      <c r="H97" s="6">
        <v>0.85</v>
      </c>
      <c r="I97">
        <f t="shared" si="6"/>
        <v>0.85</v>
      </c>
      <c r="J97">
        <f t="shared" si="7"/>
        <v>0</v>
      </c>
      <c r="K97">
        <f t="shared" si="8"/>
        <v>0</v>
      </c>
      <c r="L97" s="6">
        <v>0.41249999999999998</v>
      </c>
      <c r="M97">
        <f t="shared" si="9"/>
        <v>0</v>
      </c>
      <c r="N97">
        <f t="shared" si="10"/>
        <v>1</v>
      </c>
      <c r="O97">
        <f t="shared" si="11"/>
        <v>0.38457604711405613</v>
      </c>
      <c r="Y97" s="6"/>
    </row>
    <row r="98" spans="7:25" x14ac:dyDescent="0.2">
      <c r="G98" s="3" t="s">
        <v>79</v>
      </c>
      <c r="H98" s="6">
        <v>0.95</v>
      </c>
      <c r="I98">
        <f t="shared" si="6"/>
        <v>0.95</v>
      </c>
      <c r="J98">
        <f t="shared" si="7"/>
        <v>0</v>
      </c>
      <c r="K98">
        <f t="shared" si="8"/>
        <v>0</v>
      </c>
      <c r="L98" s="6">
        <v>0.48909999999999998</v>
      </c>
      <c r="M98">
        <f t="shared" si="9"/>
        <v>0</v>
      </c>
      <c r="N98">
        <f t="shared" si="10"/>
        <v>1</v>
      </c>
      <c r="O98">
        <f t="shared" si="11"/>
        <v>0.31060233717871766</v>
      </c>
      <c r="Y98" s="6"/>
    </row>
    <row r="99" spans="7:25" x14ac:dyDescent="0.2">
      <c r="G99" s="3" t="s">
        <v>23</v>
      </c>
      <c r="H99" s="6">
        <v>0.65</v>
      </c>
      <c r="I99">
        <f t="shared" si="6"/>
        <v>0.65</v>
      </c>
      <c r="J99">
        <f t="shared" si="7"/>
        <v>0</v>
      </c>
      <c r="K99">
        <f t="shared" si="8"/>
        <v>0</v>
      </c>
      <c r="L99" s="6">
        <v>0.36649999999999999</v>
      </c>
      <c r="M99">
        <f t="shared" si="9"/>
        <v>0</v>
      </c>
      <c r="N99">
        <f t="shared" si="10"/>
        <v>1</v>
      </c>
      <c r="O99">
        <f t="shared" si="11"/>
        <v>0.43592602102285327</v>
      </c>
      <c r="Y99" s="6"/>
    </row>
    <row r="100" spans="7:25" x14ac:dyDescent="0.2">
      <c r="G100" s="3" t="s">
        <v>12</v>
      </c>
      <c r="H100" s="6">
        <v>0.65</v>
      </c>
      <c r="I100">
        <f t="shared" si="6"/>
        <v>0.65</v>
      </c>
      <c r="J100">
        <f t="shared" si="7"/>
        <v>0</v>
      </c>
      <c r="K100">
        <f t="shared" si="8"/>
        <v>0</v>
      </c>
      <c r="L100" s="6">
        <v>0.42230000000000001</v>
      </c>
      <c r="M100">
        <f t="shared" si="9"/>
        <v>0</v>
      </c>
      <c r="N100">
        <f t="shared" si="10"/>
        <v>1</v>
      </c>
      <c r="O100">
        <f t="shared" si="11"/>
        <v>0.37437891857509231</v>
      </c>
      <c r="Y100" s="6"/>
    </row>
    <row r="101" spans="7:25" x14ac:dyDescent="0.2">
      <c r="G101" s="3" t="s">
        <v>45</v>
      </c>
      <c r="H101" s="6">
        <v>0.75</v>
      </c>
      <c r="I101">
        <f t="shared" si="6"/>
        <v>0.75</v>
      </c>
      <c r="J101">
        <f t="shared" si="7"/>
        <v>0</v>
      </c>
      <c r="K101">
        <f t="shared" si="8"/>
        <v>0</v>
      </c>
      <c r="L101" s="6">
        <v>0.35239999999999999</v>
      </c>
      <c r="M101">
        <f t="shared" si="9"/>
        <v>0</v>
      </c>
      <c r="N101">
        <f t="shared" si="10"/>
        <v>1</v>
      </c>
      <c r="O101">
        <f t="shared" si="11"/>
        <v>0.45296410025998973</v>
      </c>
      <c r="Y101" s="6"/>
    </row>
    <row r="102" spans="7:25" x14ac:dyDescent="0.2">
      <c r="G102" s="3" t="s">
        <v>15</v>
      </c>
      <c r="H102" s="6">
        <v>0.75</v>
      </c>
      <c r="I102">
        <f t="shared" ref="I102:I151" si="12">_xlfn.XLOOKUP(G102,$C$2:$C$35,$A$2:$A$35)</f>
        <v>0.75</v>
      </c>
      <c r="J102">
        <f t="shared" ref="J102:J151" si="13">H102-I102</f>
        <v>0</v>
      </c>
      <c r="K102">
        <f t="shared" si="8"/>
        <v>0</v>
      </c>
      <c r="L102" s="6">
        <v>0.92789999999999995</v>
      </c>
      <c r="M102">
        <f t="shared" si="9"/>
        <v>0</v>
      </c>
      <c r="N102">
        <f t="shared" si="10"/>
        <v>1</v>
      </c>
      <c r="O102">
        <f t="shared" si="11"/>
        <v>3.2498825277158604E-2</v>
      </c>
      <c r="Y102" s="6"/>
    </row>
    <row r="103" spans="7:25" x14ac:dyDescent="0.2">
      <c r="G103" s="3" t="s">
        <v>22</v>
      </c>
      <c r="H103" s="6">
        <v>0.95</v>
      </c>
      <c r="I103">
        <f t="shared" si="12"/>
        <v>0.95</v>
      </c>
      <c r="J103">
        <f t="shared" si="13"/>
        <v>0</v>
      </c>
      <c r="K103">
        <f t="shared" si="8"/>
        <v>0</v>
      </c>
      <c r="L103" s="6">
        <v>0.3453</v>
      </c>
      <c r="M103">
        <f t="shared" si="9"/>
        <v>0</v>
      </c>
      <c r="N103">
        <f t="shared" si="10"/>
        <v>1</v>
      </c>
      <c r="O103">
        <f t="shared" si="11"/>
        <v>0.46180342165054578</v>
      </c>
      <c r="Y103" s="6"/>
    </row>
    <row r="104" spans="7:25" x14ac:dyDescent="0.2">
      <c r="G104" s="3" t="s">
        <v>53</v>
      </c>
      <c r="H104" s="6">
        <v>0.75</v>
      </c>
      <c r="I104">
        <f t="shared" si="12"/>
        <v>0.75</v>
      </c>
      <c r="J104">
        <f t="shared" si="13"/>
        <v>0</v>
      </c>
      <c r="K104">
        <f t="shared" si="8"/>
        <v>0</v>
      </c>
      <c r="L104" s="6">
        <v>0.38550000000000001</v>
      </c>
      <c r="M104">
        <f t="shared" si="9"/>
        <v>0</v>
      </c>
      <c r="N104">
        <f t="shared" si="10"/>
        <v>1</v>
      </c>
      <c r="O104">
        <f t="shared" si="11"/>
        <v>0.4139756176130242</v>
      </c>
      <c r="Y104" s="6"/>
    </row>
    <row r="105" spans="7:25" x14ac:dyDescent="0.2">
      <c r="G105" s="3" t="s">
        <v>39</v>
      </c>
      <c r="H105" s="6">
        <v>0.85</v>
      </c>
      <c r="I105">
        <f t="shared" si="12"/>
        <v>0.75</v>
      </c>
      <c r="J105">
        <f t="shared" si="13"/>
        <v>9.9999999999999978E-2</v>
      </c>
      <c r="K105">
        <f t="shared" si="8"/>
        <v>9.9999999999999978E-2</v>
      </c>
      <c r="L105" s="6">
        <v>0.30109999999999998</v>
      </c>
      <c r="M105">
        <f t="shared" si="9"/>
        <v>0</v>
      </c>
      <c r="N105">
        <f t="shared" si="10"/>
        <v>1</v>
      </c>
      <c r="O105">
        <f t="shared" si="11"/>
        <v>0.52128924448724068</v>
      </c>
      <c r="Y105" s="6"/>
    </row>
    <row r="106" spans="7:25" x14ac:dyDescent="0.2">
      <c r="G106" s="3" t="s">
        <v>15</v>
      </c>
      <c r="H106" s="6">
        <v>0.75</v>
      </c>
      <c r="I106">
        <f t="shared" si="12"/>
        <v>0.75</v>
      </c>
      <c r="J106">
        <f t="shared" si="13"/>
        <v>0</v>
      </c>
      <c r="K106">
        <f t="shared" si="8"/>
        <v>0</v>
      </c>
      <c r="L106" s="6">
        <v>0.33479999999999999</v>
      </c>
      <c r="M106">
        <f t="shared" si="9"/>
        <v>0</v>
      </c>
      <c r="N106">
        <f t="shared" si="10"/>
        <v>1</v>
      </c>
      <c r="O106">
        <f t="shared" si="11"/>
        <v>0.47521455067877766</v>
      </c>
      <c r="Y106" s="6"/>
    </row>
    <row r="107" spans="7:25" x14ac:dyDescent="0.2">
      <c r="G107" s="3" t="s">
        <v>30</v>
      </c>
      <c r="H107" s="6">
        <v>0.65</v>
      </c>
      <c r="I107">
        <f t="shared" si="12"/>
        <v>0.65</v>
      </c>
      <c r="J107">
        <f t="shared" si="13"/>
        <v>0</v>
      </c>
      <c r="K107">
        <f t="shared" si="8"/>
        <v>0</v>
      </c>
      <c r="L107" s="6">
        <v>0.3266</v>
      </c>
      <c r="M107">
        <f t="shared" si="9"/>
        <v>0</v>
      </c>
      <c r="N107">
        <f t="shared" si="10"/>
        <v>1</v>
      </c>
      <c r="O107">
        <f t="shared" si="11"/>
        <v>0.48598381959935066</v>
      </c>
      <c r="Y107" s="6"/>
    </row>
    <row r="108" spans="7:25" hidden="1" x14ac:dyDescent="0.2">
      <c r="G108" s="3" t="s">
        <v>38</v>
      </c>
      <c r="H108" s="6">
        <v>0.85</v>
      </c>
      <c r="I108">
        <f t="shared" si="12"/>
        <v>0.95</v>
      </c>
      <c r="J108">
        <f t="shared" si="13"/>
        <v>-9.9999999999999978E-2</v>
      </c>
      <c r="K108">
        <f t="shared" si="8"/>
        <v>9.9999999999999978E-2</v>
      </c>
      <c r="L108" s="6">
        <v>0.90790000000000004</v>
      </c>
      <c r="M108">
        <f t="shared" si="9"/>
        <v>-0.19999999999999996</v>
      </c>
      <c r="N108">
        <f t="shared" si="10"/>
        <v>0</v>
      </c>
      <c r="O108">
        <f t="shared" si="11"/>
        <v>0</v>
      </c>
      <c r="Y108" s="6">
        <v>3.3999999999999998E-3</v>
      </c>
    </row>
    <row r="109" spans="7:25" x14ac:dyDescent="0.2">
      <c r="G109" s="3" t="s">
        <v>79</v>
      </c>
      <c r="H109" s="6">
        <v>0.95</v>
      </c>
      <c r="I109">
        <f t="shared" si="12"/>
        <v>0.95</v>
      </c>
      <c r="J109">
        <f t="shared" si="13"/>
        <v>0</v>
      </c>
      <c r="K109">
        <f t="shared" si="8"/>
        <v>0</v>
      </c>
      <c r="L109" s="6">
        <v>0.51259999999999994</v>
      </c>
      <c r="M109">
        <f t="shared" si="9"/>
        <v>0</v>
      </c>
      <c r="N109">
        <f t="shared" si="10"/>
        <v>1</v>
      </c>
      <c r="O109">
        <f t="shared" si="11"/>
        <v>0.29022139815177483</v>
      </c>
      <c r="Y109" s="6"/>
    </row>
    <row r="110" spans="7:25" x14ac:dyDescent="0.2">
      <c r="G110" s="3" t="s">
        <v>39</v>
      </c>
      <c r="H110" s="6">
        <v>0.75</v>
      </c>
      <c r="I110">
        <f t="shared" si="12"/>
        <v>0.75</v>
      </c>
      <c r="J110">
        <f t="shared" si="13"/>
        <v>0</v>
      </c>
      <c r="K110">
        <f t="shared" si="8"/>
        <v>0</v>
      </c>
      <c r="L110" s="6">
        <v>0.28549999999999998</v>
      </c>
      <c r="M110">
        <f t="shared" si="9"/>
        <v>0</v>
      </c>
      <c r="N110">
        <f t="shared" si="10"/>
        <v>1</v>
      </c>
      <c r="O110">
        <f t="shared" si="11"/>
        <v>0.54439388741813322</v>
      </c>
      <c r="Y110" s="6"/>
    </row>
    <row r="111" spans="7:25" x14ac:dyDescent="0.2">
      <c r="G111" s="3" t="s">
        <v>61</v>
      </c>
      <c r="H111" s="6">
        <v>0.85</v>
      </c>
      <c r="I111">
        <f t="shared" si="12"/>
        <v>0.85</v>
      </c>
      <c r="J111">
        <f t="shared" si="13"/>
        <v>0</v>
      </c>
      <c r="K111">
        <f t="shared" si="8"/>
        <v>0</v>
      </c>
      <c r="L111" s="6">
        <v>0.62670000000000003</v>
      </c>
      <c r="M111">
        <f t="shared" si="9"/>
        <v>0</v>
      </c>
      <c r="N111">
        <f t="shared" si="10"/>
        <v>1</v>
      </c>
      <c r="O111">
        <f t="shared" si="11"/>
        <v>0.20294030530002896</v>
      </c>
      <c r="Y111" s="6"/>
    </row>
    <row r="112" spans="7:25" x14ac:dyDescent="0.2">
      <c r="G112" s="3" t="s">
        <v>15</v>
      </c>
      <c r="H112" s="6">
        <v>0.75</v>
      </c>
      <c r="I112">
        <f t="shared" si="12"/>
        <v>0.75</v>
      </c>
      <c r="J112">
        <f t="shared" si="13"/>
        <v>0</v>
      </c>
      <c r="K112">
        <f t="shared" si="8"/>
        <v>0</v>
      </c>
      <c r="L112" s="6">
        <v>0.26910000000000001</v>
      </c>
      <c r="M112">
        <f t="shared" si="9"/>
        <v>0</v>
      </c>
      <c r="N112">
        <f t="shared" si="10"/>
        <v>1</v>
      </c>
      <c r="O112">
        <f t="shared" si="11"/>
        <v>0.57008630223624546</v>
      </c>
      <c r="Y112" s="6"/>
    </row>
    <row r="113" spans="7:25" x14ac:dyDescent="0.2">
      <c r="G113" s="3" t="s">
        <v>30</v>
      </c>
      <c r="H113" s="6">
        <v>0.65</v>
      </c>
      <c r="I113">
        <f t="shared" si="12"/>
        <v>0.65</v>
      </c>
      <c r="J113">
        <f t="shared" si="13"/>
        <v>0</v>
      </c>
      <c r="K113">
        <f t="shared" si="8"/>
        <v>0</v>
      </c>
      <c r="L113" s="6">
        <v>0.2888</v>
      </c>
      <c r="M113">
        <f t="shared" si="9"/>
        <v>0</v>
      </c>
      <c r="N113">
        <f t="shared" si="10"/>
        <v>1</v>
      </c>
      <c r="O113">
        <f t="shared" si="11"/>
        <v>0.53940281110239852</v>
      </c>
      <c r="Y113" s="6"/>
    </row>
    <row r="114" spans="7:25" x14ac:dyDescent="0.2">
      <c r="G114" s="3" t="s">
        <v>42</v>
      </c>
      <c r="H114" s="6">
        <v>0.75</v>
      </c>
      <c r="I114">
        <f t="shared" si="12"/>
        <v>0.75</v>
      </c>
      <c r="J114">
        <f t="shared" si="13"/>
        <v>0</v>
      </c>
      <c r="K114">
        <f t="shared" si="8"/>
        <v>0</v>
      </c>
      <c r="L114" s="6">
        <v>0.3347</v>
      </c>
      <c r="M114">
        <f t="shared" si="9"/>
        <v>0</v>
      </c>
      <c r="N114">
        <f t="shared" si="10"/>
        <v>1</v>
      </c>
      <c r="O114">
        <f t="shared" si="11"/>
        <v>0.47534428764222286</v>
      </c>
      <c r="Y114" s="6"/>
    </row>
    <row r="115" spans="7:25" x14ac:dyDescent="0.2">
      <c r="G115" s="3" t="s">
        <v>56</v>
      </c>
      <c r="H115" s="6">
        <v>0.75</v>
      </c>
      <c r="I115">
        <f t="shared" si="12"/>
        <v>0.75</v>
      </c>
      <c r="J115">
        <f t="shared" si="13"/>
        <v>0</v>
      </c>
      <c r="K115">
        <f t="shared" si="8"/>
        <v>0</v>
      </c>
      <c r="L115" s="6">
        <v>0.31280000000000002</v>
      </c>
      <c r="M115">
        <f t="shared" si="9"/>
        <v>0</v>
      </c>
      <c r="N115">
        <f t="shared" si="10"/>
        <v>1</v>
      </c>
      <c r="O115">
        <f t="shared" si="11"/>
        <v>0.50473325561218962</v>
      </c>
      <c r="Y115" s="6"/>
    </row>
    <row r="116" spans="7:25" x14ac:dyDescent="0.2">
      <c r="G116" s="3" t="s">
        <v>11</v>
      </c>
      <c r="H116" s="6">
        <v>0.95</v>
      </c>
      <c r="I116">
        <f t="shared" si="12"/>
        <v>0.95</v>
      </c>
      <c r="J116">
        <f t="shared" si="13"/>
        <v>0</v>
      </c>
      <c r="K116">
        <f t="shared" si="8"/>
        <v>0</v>
      </c>
      <c r="L116" s="6">
        <v>0.3725</v>
      </c>
      <c r="M116">
        <f t="shared" si="9"/>
        <v>0</v>
      </c>
      <c r="N116">
        <f t="shared" si="10"/>
        <v>1</v>
      </c>
      <c r="O116">
        <f t="shared" si="11"/>
        <v>0.42887372291568837</v>
      </c>
      <c r="Y116" s="6"/>
    </row>
    <row r="117" spans="7:25" x14ac:dyDescent="0.2">
      <c r="G117" s="3" t="s">
        <v>19</v>
      </c>
      <c r="H117" s="6">
        <v>0.65</v>
      </c>
      <c r="I117">
        <f t="shared" si="12"/>
        <v>0.65</v>
      </c>
      <c r="J117">
        <f t="shared" si="13"/>
        <v>0</v>
      </c>
      <c r="K117">
        <f t="shared" si="8"/>
        <v>0</v>
      </c>
      <c r="L117" s="6">
        <v>0.30420000000000003</v>
      </c>
      <c r="M117">
        <f t="shared" si="9"/>
        <v>0</v>
      </c>
      <c r="N117">
        <f t="shared" si="10"/>
        <v>1</v>
      </c>
      <c r="O117">
        <f t="shared" si="11"/>
        <v>0.51684079028302032</v>
      </c>
      <c r="Y117" s="6"/>
    </row>
    <row r="118" spans="7:25" x14ac:dyDescent="0.2">
      <c r="G118" s="3" t="s">
        <v>39</v>
      </c>
      <c r="H118" s="6">
        <v>0.75</v>
      </c>
      <c r="I118">
        <f t="shared" si="12"/>
        <v>0.75</v>
      </c>
      <c r="J118">
        <f t="shared" si="13"/>
        <v>0</v>
      </c>
      <c r="K118">
        <f t="shared" si="8"/>
        <v>0</v>
      </c>
      <c r="L118" s="6">
        <v>0.40160000000000001</v>
      </c>
      <c r="M118">
        <f t="shared" si="9"/>
        <v>0</v>
      </c>
      <c r="N118">
        <f t="shared" si="10"/>
        <v>1</v>
      </c>
      <c r="O118">
        <f t="shared" si="11"/>
        <v>0.39620629586303707</v>
      </c>
      <c r="Y118" s="6"/>
    </row>
    <row r="119" spans="7:25" x14ac:dyDescent="0.2">
      <c r="G119" s="3" t="s">
        <v>16</v>
      </c>
      <c r="H119" s="6">
        <v>0.65</v>
      </c>
      <c r="I119">
        <f t="shared" si="12"/>
        <v>0.65</v>
      </c>
      <c r="J119">
        <f t="shared" si="13"/>
        <v>0</v>
      </c>
      <c r="K119">
        <f t="shared" si="8"/>
        <v>0</v>
      </c>
      <c r="L119" s="6">
        <v>0.36630000000000001</v>
      </c>
      <c r="M119">
        <f t="shared" si="9"/>
        <v>0</v>
      </c>
      <c r="N119">
        <f t="shared" si="10"/>
        <v>1</v>
      </c>
      <c r="O119">
        <f t="shared" si="11"/>
        <v>0.43616308133545506</v>
      </c>
      <c r="Y119" s="6"/>
    </row>
    <row r="120" spans="7:25" x14ac:dyDescent="0.2">
      <c r="G120" s="3" t="s">
        <v>23</v>
      </c>
      <c r="H120" s="6">
        <v>0.65</v>
      </c>
      <c r="I120">
        <f t="shared" si="12"/>
        <v>0.65</v>
      </c>
      <c r="J120">
        <f t="shared" si="13"/>
        <v>0</v>
      </c>
      <c r="K120">
        <f t="shared" si="8"/>
        <v>0</v>
      </c>
      <c r="L120" s="6">
        <v>0.30149999999999999</v>
      </c>
      <c r="M120">
        <f t="shared" si="9"/>
        <v>0</v>
      </c>
      <c r="N120">
        <f t="shared" si="10"/>
        <v>1</v>
      </c>
      <c r="O120">
        <f t="shared" si="11"/>
        <v>0.52071268352382993</v>
      </c>
      <c r="Y120" s="6"/>
    </row>
    <row r="121" spans="7:25" x14ac:dyDescent="0.2">
      <c r="G121" s="3" t="s">
        <v>67</v>
      </c>
      <c r="H121" s="6">
        <v>0.85</v>
      </c>
      <c r="I121">
        <f t="shared" si="12"/>
        <v>0.85</v>
      </c>
      <c r="J121">
        <f t="shared" si="13"/>
        <v>0</v>
      </c>
      <c r="K121">
        <f t="shared" si="8"/>
        <v>0</v>
      </c>
      <c r="L121" s="6">
        <v>0.40079999999999999</v>
      </c>
      <c r="M121">
        <f t="shared" si="9"/>
        <v>0</v>
      </c>
      <c r="N121">
        <f t="shared" si="10"/>
        <v>1</v>
      </c>
      <c r="O121">
        <f t="shared" si="11"/>
        <v>0.39707228714081072</v>
      </c>
      <c r="Y121" s="6"/>
    </row>
    <row r="122" spans="7:25" x14ac:dyDescent="0.2">
      <c r="G122" s="3" t="s">
        <v>30</v>
      </c>
      <c r="H122" s="6">
        <v>0.65</v>
      </c>
      <c r="I122">
        <f t="shared" si="12"/>
        <v>0.65</v>
      </c>
      <c r="J122">
        <f t="shared" si="13"/>
        <v>0</v>
      </c>
      <c r="K122">
        <f t="shared" si="8"/>
        <v>0</v>
      </c>
      <c r="L122" s="6">
        <v>0.88090000000000002</v>
      </c>
      <c r="M122">
        <f t="shared" si="9"/>
        <v>0</v>
      </c>
      <c r="N122">
        <f t="shared" si="10"/>
        <v>1</v>
      </c>
      <c r="O122">
        <f t="shared" si="11"/>
        <v>5.5073390013784369E-2</v>
      </c>
      <c r="Y122" s="6"/>
    </row>
    <row r="123" spans="7:25" x14ac:dyDescent="0.2">
      <c r="G123" s="3" t="s">
        <v>42</v>
      </c>
      <c r="H123" s="6">
        <v>0.75</v>
      </c>
      <c r="I123">
        <f t="shared" si="12"/>
        <v>0.75</v>
      </c>
      <c r="J123">
        <f t="shared" si="13"/>
        <v>0</v>
      </c>
      <c r="K123">
        <f t="shared" si="8"/>
        <v>0</v>
      </c>
      <c r="L123" s="6">
        <v>0.34210000000000002</v>
      </c>
      <c r="M123">
        <f t="shared" si="9"/>
        <v>0</v>
      </c>
      <c r="N123">
        <f t="shared" si="10"/>
        <v>1</v>
      </c>
      <c r="O123">
        <f t="shared" si="11"/>
        <v>0.46584692581493742</v>
      </c>
      <c r="Y123" s="6"/>
    </row>
    <row r="124" spans="7:25" x14ac:dyDescent="0.2">
      <c r="G124" s="3" t="s">
        <v>8</v>
      </c>
      <c r="H124" s="6">
        <v>0.65</v>
      </c>
      <c r="I124">
        <f t="shared" si="12"/>
        <v>0.65</v>
      </c>
      <c r="J124">
        <f t="shared" si="13"/>
        <v>0</v>
      </c>
      <c r="K124">
        <f t="shared" si="8"/>
        <v>0</v>
      </c>
      <c r="L124" s="6">
        <v>0.3775</v>
      </c>
      <c r="M124">
        <f t="shared" si="9"/>
        <v>0</v>
      </c>
      <c r="N124">
        <f t="shared" si="10"/>
        <v>1</v>
      </c>
      <c r="O124">
        <f t="shared" si="11"/>
        <v>0.42308304403479297</v>
      </c>
      <c r="Y124" s="6"/>
    </row>
    <row r="125" spans="7:25" x14ac:dyDescent="0.2">
      <c r="G125" s="3" t="s">
        <v>33</v>
      </c>
      <c r="H125" s="6">
        <v>0.95</v>
      </c>
      <c r="I125">
        <f t="shared" si="12"/>
        <v>0.95</v>
      </c>
      <c r="J125">
        <f t="shared" si="13"/>
        <v>0</v>
      </c>
      <c r="K125">
        <f t="shared" si="8"/>
        <v>0</v>
      </c>
      <c r="L125" s="6">
        <v>0.40710000000000002</v>
      </c>
      <c r="M125">
        <f t="shared" si="9"/>
        <v>0</v>
      </c>
      <c r="N125">
        <f t="shared" si="10"/>
        <v>1</v>
      </c>
      <c r="O125">
        <f t="shared" si="11"/>
        <v>0.39029889762060049</v>
      </c>
      <c r="Y125" s="6"/>
    </row>
    <row r="126" spans="7:25" x14ac:dyDescent="0.2">
      <c r="G126" s="3" t="s">
        <v>38</v>
      </c>
      <c r="H126" s="6">
        <v>0.95</v>
      </c>
      <c r="I126">
        <f t="shared" si="12"/>
        <v>0.95</v>
      </c>
      <c r="J126">
        <f t="shared" si="13"/>
        <v>0</v>
      </c>
      <c r="K126">
        <f t="shared" si="8"/>
        <v>0</v>
      </c>
      <c r="L126" s="6">
        <v>0.26640000000000003</v>
      </c>
      <c r="M126">
        <f t="shared" si="9"/>
        <v>0</v>
      </c>
      <c r="N126">
        <f t="shared" si="10"/>
        <v>1</v>
      </c>
      <c r="O126">
        <f t="shared" si="11"/>
        <v>0.5744657795017365</v>
      </c>
      <c r="Y126" s="6"/>
    </row>
    <row r="127" spans="7:25" x14ac:dyDescent="0.2">
      <c r="G127" s="3" t="s">
        <v>12</v>
      </c>
      <c r="H127" s="6">
        <v>0.65</v>
      </c>
      <c r="I127">
        <f t="shared" si="12"/>
        <v>0.65</v>
      </c>
      <c r="J127">
        <f t="shared" si="13"/>
        <v>0</v>
      </c>
      <c r="K127">
        <f t="shared" si="8"/>
        <v>0</v>
      </c>
      <c r="L127" s="6">
        <v>0.41020000000000001</v>
      </c>
      <c r="M127">
        <f t="shared" si="9"/>
        <v>0</v>
      </c>
      <c r="N127">
        <f t="shared" si="10"/>
        <v>1</v>
      </c>
      <c r="O127">
        <f t="shared" si="11"/>
        <v>0.38700434396765249</v>
      </c>
      <c r="Y127" s="6"/>
    </row>
    <row r="128" spans="7:25" x14ac:dyDescent="0.2">
      <c r="G128" s="3" t="s">
        <v>67</v>
      </c>
      <c r="H128" s="6">
        <v>0.95</v>
      </c>
      <c r="I128">
        <f t="shared" si="12"/>
        <v>0.85</v>
      </c>
      <c r="J128">
        <f t="shared" si="13"/>
        <v>9.9999999999999978E-2</v>
      </c>
      <c r="K128">
        <f t="shared" si="8"/>
        <v>9.9999999999999978E-2</v>
      </c>
      <c r="L128" s="6">
        <v>0.52769999999999995</v>
      </c>
      <c r="M128">
        <f t="shared" si="9"/>
        <v>0</v>
      </c>
      <c r="N128">
        <f t="shared" si="10"/>
        <v>1</v>
      </c>
      <c r="O128">
        <f t="shared" si="11"/>
        <v>0.27761290582287634</v>
      </c>
      <c r="Y128" s="6"/>
    </row>
    <row r="129" spans="7:25" x14ac:dyDescent="0.2">
      <c r="G129" s="3" t="s">
        <v>26</v>
      </c>
      <c r="H129" s="6">
        <v>0.85</v>
      </c>
      <c r="I129">
        <f t="shared" si="12"/>
        <v>0.85</v>
      </c>
      <c r="J129">
        <f t="shared" si="13"/>
        <v>0</v>
      </c>
      <c r="K129">
        <f t="shared" si="8"/>
        <v>0</v>
      </c>
      <c r="L129" s="6">
        <v>0.4254</v>
      </c>
      <c r="M129">
        <f t="shared" si="9"/>
        <v>0</v>
      </c>
      <c r="N129">
        <f t="shared" si="10"/>
        <v>1</v>
      </c>
      <c r="O129">
        <f t="shared" si="11"/>
        <v>0.37120251443328983</v>
      </c>
      <c r="Y129" s="6"/>
    </row>
    <row r="130" spans="7:25" x14ac:dyDescent="0.2">
      <c r="G130" s="3" t="s">
        <v>8</v>
      </c>
      <c r="H130" s="6">
        <v>0.65</v>
      </c>
      <c r="I130">
        <f t="shared" si="12"/>
        <v>0.65</v>
      </c>
      <c r="J130">
        <f t="shared" si="13"/>
        <v>0</v>
      </c>
      <c r="K130">
        <f t="shared" si="8"/>
        <v>0</v>
      </c>
      <c r="L130" s="6">
        <v>0.88219999999999998</v>
      </c>
      <c r="M130">
        <f t="shared" si="9"/>
        <v>0</v>
      </c>
      <c r="N130">
        <f t="shared" si="10"/>
        <v>1</v>
      </c>
      <c r="O130">
        <f t="shared" si="11"/>
        <v>5.4432946557611467E-2</v>
      </c>
      <c r="Y130" s="6"/>
    </row>
    <row r="131" spans="7:25" x14ac:dyDescent="0.2">
      <c r="G131" s="3" t="s">
        <v>35</v>
      </c>
      <c r="H131" s="6">
        <v>0.95</v>
      </c>
      <c r="I131">
        <f t="shared" si="12"/>
        <v>0.95</v>
      </c>
      <c r="J131">
        <f t="shared" si="13"/>
        <v>0</v>
      </c>
      <c r="K131">
        <f t="shared" ref="K131:K151" si="14">IF(J131&lt;0,(J131*-1),J131)</f>
        <v>0</v>
      </c>
      <c r="L131" s="6">
        <v>0.50539999999999996</v>
      </c>
      <c r="M131">
        <f t="shared" ref="M131:M151" si="15">J131-K131</f>
        <v>0</v>
      </c>
      <c r="N131">
        <f t="shared" ref="N131:N151" si="16">IF(M131=0,1,0)</f>
        <v>1</v>
      </c>
      <c r="O131">
        <f t="shared" ref="O131:O151" si="17">-N131*LOG(L131)</f>
        <v>0.2963647624161041</v>
      </c>
      <c r="Y131" s="6"/>
    </row>
    <row r="132" spans="7:25" x14ac:dyDescent="0.2">
      <c r="G132" s="3" t="s">
        <v>27</v>
      </c>
      <c r="H132" s="6">
        <v>0.65</v>
      </c>
      <c r="I132">
        <f t="shared" si="12"/>
        <v>0.65</v>
      </c>
      <c r="J132">
        <f t="shared" si="13"/>
        <v>0</v>
      </c>
      <c r="K132">
        <f t="shared" si="14"/>
        <v>0</v>
      </c>
      <c r="L132" s="6">
        <v>0.32300000000000001</v>
      </c>
      <c r="M132">
        <f t="shared" si="15"/>
        <v>0</v>
      </c>
      <c r="N132">
        <f t="shared" si="16"/>
        <v>1</v>
      </c>
      <c r="O132">
        <f t="shared" si="17"/>
        <v>0.49079747766889709</v>
      </c>
      <c r="Y132" s="6"/>
    </row>
    <row r="133" spans="7:25" x14ac:dyDescent="0.2">
      <c r="G133" s="3" t="s">
        <v>16</v>
      </c>
      <c r="H133" s="6">
        <v>0.65</v>
      </c>
      <c r="I133">
        <f t="shared" si="12"/>
        <v>0.65</v>
      </c>
      <c r="J133">
        <f t="shared" si="13"/>
        <v>0</v>
      </c>
      <c r="K133">
        <f t="shared" si="14"/>
        <v>0</v>
      </c>
      <c r="L133" s="6">
        <v>0.69340000000000002</v>
      </c>
      <c r="M133">
        <f t="shared" si="15"/>
        <v>0</v>
      </c>
      <c r="N133">
        <f t="shared" si="16"/>
        <v>1</v>
      </c>
      <c r="O133">
        <f t="shared" si="17"/>
        <v>0.1590161626796221</v>
      </c>
      <c r="Y133" s="6"/>
    </row>
    <row r="134" spans="7:25" x14ac:dyDescent="0.2">
      <c r="G134" s="3" t="s">
        <v>15</v>
      </c>
      <c r="H134" s="6">
        <v>0.75</v>
      </c>
      <c r="I134">
        <f t="shared" si="12"/>
        <v>0.75</v>
      </c>
      <c r="J134">
        <f t="shared" si="13"/>
        <v>0</v>
      </c>
      <c r="K134">
        <f t="shared" si="14"/>
        <v>0</v>
      </c>
      <c r="L134" s="6">
        <v>0.93569999999999998</v>
      </c>
      <c r="M134">
        <f t="shared" si="15"/>
        <v>0</v>
      </c>
      <c r="N134">
        <f t="shared" si="16"/>
        <v>1</v>
      </c>
      <c r="O134">
        <f t="shared" si="17"/>
        <v>2.8863370523193807E-2</v>
      </c>
      <c r="Y134" s="6"/>
    </row>
    <row r="135" spans="7:25" x14ac:dyDescent="0.2">
      <c r="G135" s="3" t="s">
        <v>15</v>
      </c>
      <c r="H135" s="6">
        <v>0.75</v>
      </c>
      <c r="I135">
        <f t="shared" si="12"/>
        <v>0.75</v>
      </c>
      <c r="J135">
        <f t="shared" si="13"/>
        <v>0</v>
      </c>
      <c r="K135">
        <f t="shared" si="14"/>
        <v>0</v>
      </c>
      <c r="L135" s="6">
        <v>0.44230000000000003</v>
      </c>
      <c r="M135">
        <f t="shared" si="15"/>
        <v>0</v>
      </c>
      <c r="N135">
        <f t="shared" si="16"/>
        <v>1</v>
      </c>
      <c r="O135">
        <f t="shared" si="17"/>
        <v>0.35428306063039616</v>
      </c>
      <c r="Y135" s="6"/>
    </row>
    <row r="136" spans="7:25" x14ac:dyDescent="0.2">
      <c r="G136" s="3" t="s">
        <v>8</v>
      </c>
      <c r="H136" s="6">
        <v>0.65</v>
      </c>
      <c r="I136">
        <f t="shared" si="12"/>
        <v>0.65</v>
      </c>
      <c r="J136">
        <f t="shared" si="13"/>
        <v>0</v>
      </c>
      <c r="K136">
        <f t="shared" si="14"/>
        <v>0</v>
      </c>
      <c r="L136" s="6">
        <v>0.27810000000000001</v>
      </c>
      <c r="M136">
        <f t="shared" si="15"/>
        <v>0</v>
      </c>
      <c r="N136">
        <f t="shared" si="16"/>
        <v>1</v>
      </c>
      <c r="O136">
        <f t="shared" si="17"/>
        <v>0.55579901113584051</v>
      </c>
      <c r="Y136" s="6"/>
    </row>
    <row r="137" spans="7:25" x14ac:dyDescent="0.2">
      <c r="G137" s="3" t="s">
        <v>12</v>
      </c>
      <c r="H137" s="6">
        <v>0.65</v>
      </c>
      <c r="I137">
        <f t="shared" si="12"/>
        <v>0.65</v>
      </c>
      <c r="J137">
        <f t="shared" si="13"/>
        <v>0</v>
      </c>
      <c r="K137">
        <f t="shared" si="14"/>
        <v>0</v>
      </c>
      <c r="L137" s="6">
        <v>0.40870000000000001</v>
      </c>
      <c r="M137">
        <f t="shared" si="15"/>
        <v>0</v>
      </c>
      <c r="N137">
        <f t="shared" si="16"/>
        <v>1</v>
      </c>
      <c r="O137">
        <f t="shared" si="17"/>
        <v>0.38859536228840652</v>
      </c>
      <c r="Y137" s="6"/>
    </row>
    <row r="138" spans="7:25" x14ac:dyDescent="0.2">
      <c r="G138" s="3" t="s">
        <v>72</v>
      </c>
      <c r="H138" s="6">
        <v>0.85</v>
      </c>
      <c r="I138">
        <f t="shared" si="12"/>
        <v>0.85</v>
      </c>
      <c r="J138">
        <f t="shared" si="13"/>
        <v>0</v>
      </c>
      <c r="K138">
        <f t="shared" si="14"/>
        <v>0</v>
      </c>
      <c r="L138" s="6">
        <v>0.29730000000000001</v>
      </c>
      <c r="M138">
        <f t="shared" si="15"/>
        <v>0</v>
      </c>
      <c r="N138">
        <f t="shared" si="16"/>
        <v>1</v>
      </c>
      <c r="O138">
        <f t="shared" si="17"/>
        <v>0.52680509079506221</v>
      </c>
      <c r="Y138" s="6"/>
    </row>
    <row r="139" spans="7:25" x14ac:dyDescent="0.2">
      <c r="G139" s="3" t="s">
        <v>64</v>
      </c>
      <c r="H139" s="6">
        <v>0.85</v>
      </c>
      <c r="I139">
        <f t="shared" si="12"/>
        <v>0.85</v>
      </c>
      <c r="J139">
        <f t="shared" si="13"/>
        <v>0</v>
      </c>
      <c r="K139">
        <f t="shared" si="14"/>
        <v>0</v>
      </c>
      <c r="L139" s="6">
        <v>0.68520000000000003</v>
      </c>
      <c r="M139">
        <f t="shared" si="15"/>
        <v>0</v>
      </c>
      <c r="N139">
        <f t="shared" si="16"/>
        <v>1</v>
      </c>
      <c r="O139">
        <f t="shared" si="17"/>
        <v>0.1641826457065271</v>
      </c>
      <c r="Y139" s="6"/>
    </row>
    <row r="140" spans="7:25" x14ac:dyDescent="0.2">
      <c r="G140" s="3" t="s">
        <v>19</v>
      </c>
      <c r="H140" s="6">
        <v>0.65</v>
      </c>
      <c r="I140">
        <f t="shared" si="12"/>
        <v>0.65</v>
      </c>
      <c r="J140">
        <f t="shared" si="13"/>
        <v>0</v>
      </c>
      <c r="K140">
        <f t="shared" si="14"/>
        <v>0</v>
      </c>
      <c r="L140" s="6">
        <v>0.43780000000000002</v>
      </c>
      <c r="M140">
        <f t="shared" si="15"/>
        <v>0</v>
      </c>
      <c r="N140">
        <f t="shared" si="16"/>
        <v>1</v>
      </c>
      <c r="O140">
        <f t="shared" si="17"/>
        <v>0.35872424276808706</v>
      </c>
      <c r="Y140" s="6"/>
    </row>
    <row r="141" spans="7:25" x14ac:dyDescent="0.2">
      <c r="G141" s="3" t="s">
        <v>45</v>
      </c>
      <c r="H141" s="6">
        <v>0.75</v>
      </c>
      <c r="I141">
        <f t="shared" si="12"/>
        <v>0.75</v>
      </c>
      <c r="J141">
        <f t="shared" si="13"/>
        <v>0</v>
      </c>
      <c r="K141">
        <f t="shared" si="14"/>
        <v>0</v>
      </c>
      <c r="L141" s="6">
        <v>0.46739999999999998</v>
      </c>
      <c r="M141">
        <f t="shared" si="15"/>
        <v>0</v>
      </c>
      <c r="N141">
        <f t="shared" si="16"/>
        <v>1</v>
      </c>
      <c r="O141">
        <f t="shared" si="17"/>
        <v>0.33031129194379194</v>
      </c>
      <c r="Y141" s="6"/>
    </row>
    <row r="142" spans="7:25" x14ac:dyDescent="0.2">
      <c r="G142" s="3" t="s">
        <v>26</v>
      </c>
      <c r="H142" s="6">
        <v>0.85</v>
      </c>
      <c r="I142">
        <f t="shared" si="12"/>
        <v>0.85</v>
      </c>
      <c r="J142">
        <f t="shared" si="13"/>
        <v>0</v>
      </c>
      <c r="K142">
        <f t="shared" si="14"/>
        <v>0</v>
      </c>
      <c r="L142" s="6">
        <v>0.42059999999999997</v>
      </c>
      <c r="M142">
        <f t="shared" si="15"/>
        <v>0</v>
      </c>
      <c r="N142">
        <f t="shared" si="16"/>
        <v>1</v>
      </c>
      <c r="O142">
        <f t="shared" si="17"/>
        <v>0.37613073164969774</v>
      </c>
      <c r="Y142" s="6"/>
    </row>
    <row r="143" spans="7:25" x14ac:dyDescent="0.2">
      <c r="G143" s="3" t="s">
        <v>48</v>
      </c>
      <c r="H143" s="6">
        <v>0.95</v>
      </c>
      <c r="I143">
        <f t="shared" si="12"/>
        <v>0.95</v>
      </c>
      <c r="J143">
        <f t="shared" si="13"/>
        <v>0</v>
      </c>
      <c r="K143">
        <f t="shared" si="14"/>
        <v>0</v>
      </c>
      <c r="L143" s="6">
        <v>0.25990000000000002</v>
      </c>
      <c r="M143">
        <f t="shared" si="15"/>
        <v>0</v>
      </c>
      <c r="N143">
        <f t="shared" si="16"/>
        <v>1</v>
      </c>
      <c r="O143">
        <f t="shared" si="17"/>
        <v>0.58519372049898732</v>
      </c>
      <c r="Y143" s="6"/>
    </row>
    <row r="144" spans="7:25" x14ac:dyDescent="0.2">
      <c r="G144" s="3" t="s">
        <v>79</v>
      </c>
      <c r="H144" s="6">
        <v>0.95</v>
      </c>
      <c r="I144">
        <f t="shared" si="12"/>
        <v>0.95</v>
      </c>
      <c r="J144">
        <f t="shared" si="13"/>
        <v>0</v>
      </c>
      <c r="K144">
        <f t="shared" si="14"/>
        <v>0</v>
      </c>
      <c r="L144" s="6">
        <v>0.4849</v>
      </c>
      <c r="M144">
        <f t="shared" si="15"/>
        <v>0</v>
      </c>
      <c r="N144">
        <f t="shared" si="16"/>
        <v>1</v>
      </c>
      <c r="O144">
        <f t="shared" si="17"/>
        <v>0.31434781588447563</v>
      </c>
      <c r="Y144" s="6"/>
    </row>
    <row r="145" spans="7:25" x14ac:dyDescent="0.2">
      <c r="G145" s="3" t="s">
        <v>64</v>
      </c>
      <c r="H145" s="6">
        <v>0.85</v>
      </c>
      <c r="I145">
        <f t="shared" si="12"/>
        <v>0.85</v>
      </c>
      <c r="J145">
        <f t="shared" si="13"/>
        <v>0</v>
      </c>
      <c r="K145">
        <f t="shared" si="14"/>
        <v>0</v>
      </c>
      <c r="L145" s="6">
        <v>0.59040000000000004</v>
      </c>
      <c r="M145">
        <f t="shared" si="15"/>
        <v>0</v>
      </c>
      <c r="N145">
        <f t="shared" si="16"/>
        <v>1</v>
      </c>
      <c r="O145">
        <f t="shared" si="17"/>
        <v>0.22885365118501483</v>
      </c>
      <c r="Y145" s="6"/>
    </row>
    <row r="146" spans="7:25" x14ac:dyDescent="0.2">
      <c r="G146" s="3" t="s">
        <v>12</v>
      </c>
      <c r="H146" s="6">
        <v>0.65</v>
      </c>
      <c r="I146">
        <f t="shared" si="12"/>
        <v>0.65</v>
      </c>
      <c r="J146">
        <f t="shared" si="13"/>
        <v>0</v>
      </c>
      <c r="K146">
        <f t="shared" si="14"/>
        <v>0</v>
      </c>
      <c r="L146" s="6">
        <v>0.30130000000000001</v>
      </c>
      <c r="M146">
        <f t="shared" si="15"/>
        <v>0</v>
      </c>
      <c r="N146">
        <f t="shared" si="16"/>
        <v>1</v>
      </c>
      <c r="O146">
        <f t="shared" si="17"/>
        <v>0.52100086832664283</v>
      </c>
      <c r="Y146" s="6"/>
    </row>
    <row r="147" spans="7:25" x14ac:dyDescent="0.2">
      <c r="G147" s="3" t="s">
        <v>52</v>
      </c>
      <c r="H147" s="6">
        <v>0.85</v>
      </c>
      <c r="I147">
        <f t="shared" si="12"/>
        <v>0.85</v>
      </c>
      <c r="J147">
        <f t="shared" si="13"/>
        <v>0</v>
      </c>
      <c r="K147">
        <f t="shared" si="14"/>
        <v>0</v>
      </c>
      <c r="L147" s="6">
        <v>0.33250000000000002</v>
      </c>
      <c r="M147">
        <f t="shared" si="15"/>
        <v>0</v>
      </c>
      <c r="N147">
        <f t="shared" si="16"/>
        <v>1</v>
      </c>
      <c r="O147">
        <f t="shared" si="17"/>
        <v>0.47820835036087656</v>
      </c>
      <c r="Y147" s="6"/>
    </row>
    <row r="148" spans="7:25" x14ac:dyDescent="0.2">
      <c r="G148" s="3" t="s">
        <v>61</v>
      </c>
      <c r="H148" s="6">
        <v>0.95</v>
      </c>
      <c r="I148">
        <f t="shared" si="12"/>
        <v>0.85</v>
      </c>
      <c r="J148">
        <f t="shared" si="13"/>
        <v>9.9999999999999978E-2</v>
      </c>
      <c r="K148">
        <f t="shared" si="14"/>
        <v>9.9999999999999978E-2</v>
      </c>
      <c r="L148" s="6">
        <v>0.41720000000000002</v>
      </c>
      <c r="M148">
        <f t="shared" si="15"/>
        <v>0</v>
      </c>
      <c r="N148">
        <f t="shared" si="16"/>
        <v>1</v>
      </c>
      <c r="O148">
        <f t="shared" si="17"/>
        <v>0.37965570024550671</v>
      </c>
      <c r="Y148" s="6"/>
    </row>
    <row r="149" spans="7:25" x14ac:dyDescent="0.2">
      <c r="G149" s="3" t="s">
        <v>79</v>
      </c>
      <c r="H149" s="6">
        <v>0.95</v>
      </c>
      <c r="I149">
        <f t="shared" si="12"/>
        <v>0.95</v>
      </c>
      <c r="J149">
        <f t="shared" si="13"/>
        <v>0</v>
      </c>
      <c r="K149">
        <f t="shared" si="14"/>
        <v>0</v>
      </c>
      <c r="L149" s="6">
        <v>0.44790000000000002</v>
      </c>
      <c r="M149">
        <f t="shared" si="15"/>
        <v>0</v>
      </c>
      <c r="N149">
        <f t="shared" si="16"/>
        <v>1</v>
      </c>
      <c r="O149">
        <f t="shared" si="17"/>
        <v>0.34881893755531213</v>
      </c>
      <c r="Y149" s="6"/>
    </row>
    <row r="150" spans="7:25" x14ac:dyDescent="0.2">
      <c r="G150" s="3" t="s">
        <v>56</v>
      </c>
      <c r="H150" s="6">
        <v>0.75</v>
      </c>
      <c r="I150">
        <f t="shared" si="12"/>
        <v>0.75</v>
      </c>
      <c r="J150">
        <f t="shared" si="13"/>
        <v>0</v>
      </c>
      <c r="K150">
        <f t="shared" si="14"/>
        <v>0</v>
      </c>
      <c r="L150" s="6">
        <v>0.35899999999999999</v>
      </c>
      <c r="M150">
        <f t="shared" si="15"/>
        <v>0</v>
      </c>
      <c r="N150">
        <f t="shared" si="16"/>
        <v>1</v>
      </c>
      <c r="O150">
        <f t="shared" si="17"/>
        <v>0.44490555142168087</v>
      </c>
      <c r="Y150" s="6"/>
    </row>
    <row r="151" spans="7:25" x14ac:dyDescent="0.2">
      <c r="G151" s="3" t="s">
        <v>22</v>
      </c>
      <c r="H151" s="6">
        <v>0.95</v>
      </c>
      <c r="I151">
        <f t="shared" si="12"/>
        <v>0.95</v>
      </c>
      <c r="J151">
        <f t="shared" si="13"/>
        <v>0</v>
      </c>
      <c r="K151">
        <f t="shared" si="14"/>
        <v>0</v>
      </c>
      <c r="L151" s="6">
        <v>0.95169999999999999</v>
      </c>
      <c r="M151">
        <f t="shared" si="15"/>
        <v>0</v>
      </c>
      <c r="N151">
        <f t="shared" si="16"/>
        <v>1</v>
      </c>
      <c r="O151">
        <f t="shared" si="17"/>
        <v>2.1499930688540839E-2</v>
      </c>
    </row>
    <row r="157" spans="7:25" x14ac:dyDescent="0.2">
      <c r="R157">
        <f>18/150</f>
        <v>0.12</v>
      </c>
    </row>
  </sheetData>
  <autoFilter ref="G1:O151" xr:uid="{3A997638-05FB-884A-876F-13ACBB7B4F85}">
    <filterColumn colId="8">
      <filters>
        <filter val="0.021499931"/>
        <filter val="0.026964559"/>
        <filter val="0.028863371"/>
        <filter val="0.032498825"/>
        <filter val="0.033858267"/>
        <filter val="0.034939479"/>
        <filter val="0.035410413"/>
        <filter val="0.037583307"/>
        <filter val="0.039862325"/>
        <filter val="0.042775942"/>
        <filter val="0.045950553"/>
        <filter val="0.05153813"/>
        <filter val="0.054432947"/>
        <filter val="0.05507339"/>
        <filter val="0.055369298"/>
        <filter val="0.060331016"/>
        <filter val="0.061530312"/>
        <filter val="0.065754119"/>
        <filter val="0.08894898"/>
        <filter val="0.1035289"/>
        <filter val="0.113734941"/>
        <filter val="0.120388093"/>
        <filter val="0.120674699"/>
        <filter val="0.12199553"/>
        <filter val="0.124244421"/>
        <filter val="0.13053359"/>
        <filter val="0.142969202"/>
        <filter val="0.152242312"/>
        <filter val="0.159016163"/>
        <filter val="0.164119268"/>
        <filter val="0.164182646"/>
        <filter val="0.167491087"/>
        <filter val="0.168322151"/>
        <filter val="0.180587689"/>
        <filter val="0.202940305"/>
        <filter val="0.20697834"/>
        <filter val="0.209363038"/>
        <filter val="0.217384068"/>
        <filter val="0.219466675"/>
        <filter val="0.228853651"/>
        <filter val="0.258690791"/>
        <filter val="0.277612906"/>
        <filter val="0.285335007"/>
        <filter val="0.287266141"/>
        <filter val="0.28869904"/>
        <filter val="0.289544136"/>
        <filter val="0.290221398"/>
        <filter val="0.292429824"/>
        <filter val="0.295592073"/>
        <filter val="0.296364762"/>
        <filter val="0.298086789"/>
        <filter val="0.308123177"/>
        <filter val="0.310602337"/>
        <filter val="0.314347816"/>
        <filter val="0.316952962"/>
        <filter val="0.318487413"/>
        <filter val="0.31884925"/>
        <filter val="0.326794718"/>
        <filter val="0.330125498"/>
        <filter val="0.330311292"/>
        <filter val="0.339893778"/>
        <filter val="0.345438445"/>
        <filter val="0.348818938"/>
        <filter val="0.351054818"/>
        <filter val="0.354283061"/>
        <filter val="0.354675998"/>
        <filter val="0.355069292"/>
        <filter val="0.355955507"/>
        <filter val="0.356349962"/>
        <filter val="0.357436563"/>
        <filter val="0.358724243"/>
        <filter val="0.371202514"/>
        <filter val="0.374378919"/>
        <filter val="0.376130732"/>
        <filter val="0.378097039"/>
        <filter val="0.3796557"/>
        <filter val="0.383734595"/>
        <filter val="0.384576047"/>
        <filter val="0.386369565"/>
        <filter val="0.387004344"/>
        <filter val="0.388489113"/>
        <filter val="0.388595362"/>
        <filter val="0.390298898"/>
        <filter val="0.396206296"/>
        <filter val="0.397072287"/>
        <filter val="0.402085529"/>
        <filter val="0.406603158"/>
        <filter val="0.411616232"/>
        <filter val="0.412625828"/>
        <filter val="0.413862975"/>
        <filter val="0.413975618"/>
        <filter val="0.415668776"/>
        <filter val="0.421246216"/>
        <filter val="0.423083044"/>
        <filter val="0.426200418"/>
        <filter val="0.428873723"/>
        <filter val="0.434270212"/>
        <filter val="0.435926021"/>
        <filter val="0.436163081"/>
        <filter val="0.43687504"/>
        <filter val="0.444905551"/>
        <filter val="0.451733455"/>
        <filter val="0.4529641"/>
        <filter val="0.458171233"/>
        <filter val="0.461803422"/>
        <filter val="0.463567824"/>
        <filter val="0.465339424"/>
        <filter val="0.465846926"/>
        <filter val="0.469544156"/>
        <filter val="0.4710833"/>
        <filter val="0.475214551"/>
        <filter val="0.475344288"/>
        <filter val="0.47820835"/>
        <filter val="0.48598382"/>
        <filter val="0.490797478"/>
        <filter val="0.496617937"/>
        <filter val="0.502241282"/>
        <filter val="0.504733256"/>
        <filter val="0.505567101"/>
        <filter val="0.513853003"/>
        <filter val="0.51413667"/>
        <filter val="0.516412703"/>
        <filter val="0.51684079"/>
        <filter val="0.520712684"/>
        <filter val="0.521000868"/>
        <filter val="0.521145032"/>
        <filter val="0.521289244"/>
        <filter val="0.522589312"/>
        <filter val="0.526367073"/>
        <filter val="0.526805091"/>
        <filter val="0.539402811"/>
        <filter val="0.544393887"/>
        <filter val="0.549135308"/>
        <filter val="0.550984684"/>
        <filter val="0.555799011"/>
        <filter val="0.563837353"/>
        <filter val="0.570086302"/>
        <filter val="0.57105571"/>
        <filter val="0.57446578"/>
        <filter val="0.58519372"/>
        <filter val="0.587539453"/>
      </filters>
    </filterColumn>
  </autoFilter>
  <conditionalFormatting sqref="O2:O151">
    <cfRule type="cellIs" dxfId="1" priority="1" operator="greaterThan">
      <formula>0.3</formula>
    </cfRule>
    <cfRule type="cellIs" dxfId="0" priority="2" operator="greaterThan">
      <formula>0.5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0 10 20</vt:lpstr>
      <vt:lpstr>0_5_10_15_20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TRAVERS Clemence</dc:creator>
  <cp:lastModifiedBy>TRAVERS Clemence</cp:lastModifiedBy>
  <dcterms:created xsi:type="dcterms:W3CDTF">2026-03-03T14:10:17Z</dcterms:created>
  <dcterms:modified xsi:type="dcterms:W3CDTF">2026-04-02T13:52:44Z</dcterms:modified>
</cp:coreProperties>
</file>