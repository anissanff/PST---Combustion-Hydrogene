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versclemence/Desktop/MA2 Centrale/Projet transversal/"/>
    </mc:Choice>
  </mc:AlternateContent>
  <xr:revisionPtr revIDLastSave="0" documentId="13_ncr:1_{94D27FC0-FF40-A443-8A5D-E920C86242CE}" xr6:coauthVersionLast="47" xr6:coauthVersionMax="47" xr10:uidLastSave="{00000000-0000-0000-0000-000000000000}"/>
  <bookViews>
    <workbookView xWindow="0" yWindow="600" windowWidth="28800" windowHeight="16100" activeTab="10" xr2:uid="{B1254AEC-5EA4-7644-9808-54BF32662364}"/>
  </bookViews>
  <sheets>
    <sheet name="JALON 1" sheetId="16" r:id="rId1"/>
    <sheet name="Tout vapeur d'eau" sheetId="1" r:id="rId2"/>
    <sheet name="Vapeur 10%" sheetId="2" r:id="rId3"/>
    <sheet name="Vapeur 10 20" sheetId="3" r:id="rId4"/>
    <sheet name="10 20 KERNEL" sheetId="4" r:id="rId5"/>
    <sheet name="10 20 Max pooling" sheetId="5" r:id="rId6"/>
    <sheet name="10 20 RF" sheetId="6" r:id="rId7"/>
    <sheet name="10 20 RF (2)" sheetId="15" r:id="rId8"/>
    <sheet name="10 20 SVC" sheetId="7" r:id="rId9"/>
    <sheet name="10 20 NN" sheetId="13" r:id="rId10"/>
    <sheet name="10 20 RF Calcul CE" sheetId="14" r:id="rId11"/>
  </sheets>
  <definedNames>
    <definedName name="_xlnm._FilterDatabase" localSheetId="1" hidden="1">'Tout vapeur d''eau'!$H$1:$I$51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4" l="1"/>
  <c r="M30" i="14" l="1"/>
  <c r="M12" i="14"/>
  <c r="M11" i="14"/>
  <c r="M10" i="14"/>
  <c r="I102" i="15"/>
  <c r="J102" i="15" s="1"/>
  <c r="K102" i="15" s="1"/>
  <c r="I103" i="15"/>
  <c r="J103" i="15" s="1"/>
  <c r="K103" i="15" s="1"/>
  <c r="I104" i="15"/>
  <c r="J104" i="15" s="1"/>
  <c r="K104" i="15" s="1"/>
  <c r="I105" i="15"/>
  <c r="J105" i="15" s="1"/>
  <c r="K105" i="15" s="1"/>
  <c r="I106" i="15"/>
  <c r="J106" i="15" s="1"/>
  <c r="K106" i="15" s="1"/>
  <c r="I107" i="15"/>
  <c r="J107" i="15" s="1"/>
  <c r="K107" i="15" s="1"/>
  <c r="I108" i="15"/>
  <c r="J108" i="15" s="1"/>
  <c r="K108" i="15" s="1"/>
  <c r="I109" i="15"/>
  <c r="J109" i="15"/>
  <c r="K109" i="15" s="1"/>
  <c r="I110" i="15"/>
  <c r="J110" i="15" s="1"/>
  <c r="K110" i="15" s="1"/>
  <c r="I111" i="15"/>
  <c r="J111" i="15" s="1"/>
  <c r="K111" i="15" s="1"/>
  <c r="I112" i="15"/>
  <c r="J112" i="15" s="1"/>
  <c r="K112" i="15" s="1"/>
  <c r="I113" i="15"/>
  <c r="J113" i="15" s="1"/>
  <c r="K113" i="15" s="1"/>
  <c r="I114" i="15"/>
  <c r="J114" i="15" s="1"/>
  <c r="K114" i="15" s="1"/>
  <c r="I115" i="15"/>
  <c r="J115" i="15" s="1"/>
  <c r="K115" i="15" s="1"/>
  <c r="I116" i="15"/>
  <c r="J116" i="15" s="1"/>
  <c r="K116" i="15" s="1"/>
  <c r="I117" i="15"/>
  <c r="J117" i="15" s="1"/>
  <c r="K117" i="15" s="1"/>
  <c r="I118" i="15"/>
  <c r="J118" i="15"/>
  <c r="K118" i="15" s="1"/>
  <c r="I119" i="15"/>
  <c r="J119" i="15" s="1"/>
  <c r="K119" i="15" s="1"/>
  <c r="I120" i="15"/>
  <c r="J120" i="15" s="1"/>
  <c r="K120" i="15" s="1"/>
  <c r="I121" i="15"/>
  <c r="J121" i="15" s="1"/>
  <c r="K121" i="15" s="1"/>
  <c r="I122" i="15"/>
  <c r="J122" i="15" s="1"/>
  <c r="K122" i="15" s="1"/>
  <c r="I123" i="15"/>
  <c r="J123" i="15"/>
  <c r="K123" i="15"/>
  <c r="I124" i="15"/>
  <c r="J124" i="15" s="1"/>
  <c r="K124" i="15" s="1"/>
  <c r="I125" i="15"/>
  <c r="J125" i="15"/>
  <c r="K125" i="15" s="1"/>
  <c r="I126" i="15"/>
  <c r="J126" i="15" s="1"/>
  <c r="K126" i="15" s="1"/>
  <c r="I127" i="15"/>
  <c r="J127" i="15" s="1"/>
  <c r="K127" i="15" s="1"/>
  <c r="I128" i="15"/>
  <c r="J128" i="15" s="1"/>
  <c r="K128" i="15" s="1"/>
  <c r="I129" i="15"/>
  <c r="J129" i="15" s="1"/>
  <c r="K129" i="15" s="1"/>
  <c r="I130" i="15"/>
  <c r="J130" i="15" s="1"/>
  <c r="K130" i="15" s="1"/>
  <c r="I131" i="15"/>
  <c r="J131" i="15" s="1"/>
  <c r="K131" i="15" s="1"/>
  <c r="I132" i="15"/>
  <c r="J132" i="15" s="1"/>
  <c r="K132" i="15" s="1"/>
  <c r="I133" i="15"/>
  <c r="J133" i="15" s="1"/>
  <c r="K133" i="15" s="1"/>
  <c r="I134" i="15"/>
  <c r="J134" i="15" s="1"/>
  <c r="K134" i="15" s="1"/>
  <c r="I135" i="15"/>
  <c r="J135" i="15" s="1"/>
  <c r="K135" i="15" s="1"/>
  <c r="I136" i="15"/>
  <c r="J136" i="15" s="1"/>
  <c r="K136" i="15" s="1"/>
  <c r="I137" i="15"/>
  <c r="J137" i="15" s="1"/>
  <c r="K137" i="15" s="1"/>
  <c r="I138" i="15"/>
  <c r="J138" i="15"/>
  <c r="K138" i="15" s="1"/>
  <c r="I139" i="15"/>
  <c r="J139" i="15" s="1"/>
  <c r="K139" i="15" s="1"/>
  <c r="I140" i="15"/>
  <c r="J140" i="15"/>
  <c r="K140" i="15" s="1"/>
  <c r="I141" i="15"/>
  <c r="J141" i="15"/>
  <c r="K141" i="15" s="1"/>
  <c r="I142" i="15"/>
  <c r="J142" i="15"/>
  <c r="K142" i="15" s="1"/>
  <c r="I143" i="15"/>
  <c r="J143" i="15" s="1"/>
  <c r="K143" i="15" s="1"/>
  <c r="I144" i="15"/>
  <c r="J144" i="15" s="1"/>
  <c r="K144" i="15" s="1"/>
  <c r="I145" i="15"/>
  <c r="J145" i="15" s="1"/>
  <c r="K145" i="15" s="1"/>
  <c r="I146" i="15"/>
  <c r="J146" i="15" s="1"/>
  <c r="K146" i="15" s="1"/>
  <c r="I147" i="15"/>
  <c r="J147" i="15"/>
  <c r="K147" i="15" s="1"/>
  <c r="I148" i="15"/>
  <c r="J148" i="15" s="1"/>
  <c r="K148" i="15" s="1"/>
  <c r="I149" i="15"/>
  <c r="J149" i="15" s="1"/>
  <c r="K149" i="15" s="1"/>
  <c r="I150" i="15"/>
  <c r="J150" i="15" s="1"/>
  <c r="K150" i="15" s="1"/>
  <c r="I151" i="15"/>
  <c r="J151" i="15" s="1"/>
  <c r="K151" i="15" s="1"/>
  <c r="I101" i="15"/>
  <c r="J101" i="15" s="1"/>
  <c r="K101" i="15" s="1"/>
  <c r="I100" i="15"/>
  <c r="J100" i="15" s="1"/>
  <c r="K100" i="15" s="1"/>
  <c r="I99" i="15"/>
  <c r="J99" i="15" s="1"/>
  <c r="K99" i="15" s="1"/>
  <c r="I98" i="15"/>
  <c r="J98" i="15" s="1"/>
  <c r="K98" i="15" s="1"/>
  <c r="I97" i="15"/>
  <c r="J97" i="15" s="1"/>
  <c r="K97" i="15" s="1"/>
  <c r="I96" i="15"/>
  <c r="J96" i="15" s="1"/>
  <c r="K96" i="15" s="1"/>
  <c r="I95" i="15"/>
  <c r="J95" i="15" s="1"/>
  <c r="K95" i="15" s="1"/>
  <c r="I94" i="15"/>
  <c r="J94" i="15" s="1"/>
  <c r="K94" i="15" s="1"/>
  <c r="I93" i="15"/>
  <c r="J93" i="15" s="1"/>
  <c r="K93" i="15" s="1"/>
  <c r="I92" i="15"/>
  <c r="J92" i="15" s="1"/>
  <c r="K92" i="15" s="1"/>
  <c r="I91" i="15"/>
  <c r="J91" i="15" s="1"/>
  <c r="K91" i="15" s="1"/>
  <c r="I90" i="15"/>
  <c r="J90" i="15" s="1"/>
  <c r="K90" i="15" s="1"/>
  <c r="I89" i="15"/>
  <c r="J89" i="15" s="1"/>
  <c r="K89" i="15" s="1"/>
  <c r="I88" i="15"/>
  <c r="J88" i="15" s="1"/>
  <c r="K88" i="15" s="1"/>
  <c r="I87" i="15"/>
  <c r="J87" i="15" s="1"/>
  <c r="K87" i="15" s="1"/>
  <c r="I86" i="15"/>
  <c r="J86" i="15" s="1"/>
  <c r="K86" i="15" s="1"/>
  <c r="I85" i="15"/>
  <c r="J85" i="15" s="1"/>
  <c r="K85" i="15" s="1"/>
  <c r="I84" i="15"/>
  <c r="J84" i="15" s="1"/>
  <c r="K84" i="15" s="1"/>
  <c r="I83" i="15"/>
  <c r="J83" i="15" s="1"/>
  <c r="K83" i="15" s="1"/>
  <c r="I82" i="15"/>
  <c r="J82" i="15" s="1"/>
  <c r="K82" i="15" s="1"/>
  <c r="J81" i="15"/>
  <c r="K81" i="15" s="1"/>
  <c r="I81" i="15"/>
  <c r="I80" i="15"/>
  <c r="J80" i="15" s="1"/>
  <c r="K80" i="15" s="1"/>
  <c r="I79" i="15"/>
  <c r="J79" i="15" s="1"/>
  <c r="K79" i="15" s="1"/>
  <c r="I78" i="15"/>
  <c r="J78" i="15" s="1"/>
  <c r="K78" i="15" s="1"/>
  <c r="I77" i="15"/>
  <c r="J77" i="15" s="1"/>
  <c r="K77" i="15" s="1"/>
  <c r="I76" i="15"/>
  <c r="J76" i="15" s="1"/>
  <c r="K76" i="15" s="1"/>
  <c r="I75" i="15"/>
  <c r="J75" i="15" s="1"/>
  <c r="K75" i="15" s="1"/>
  <c r="I74" i="15"/>
  <c r="J74" i="15" s="1"/>
  <c r="K74" i="15" s="1"/>
  <c r="I73" i="15"/>
  <c r="J73" i="15" s="1"/>
  <c r="K73" i="15" s="1"/>
  <c r="I72" i="15"/>
  <c r="J72" i="15" s="1"/>
  <c r="K72" i="15" s="1"/>
  <c r="I71" i="15"/>
  <c r="J71" i="15" s="1"/>
  <c r="K71" i="15" s="1"/>
  <c r="I70" i="15"/>
  <c r="J70" i="15" s="1"/>
  <c r="K70" i="15" s="1"/>
  <c r="I69" i="15"/>
  <c r="J69" i="15" s="1"/>
  <c r="K69" i="15" s="1"/>
  <c r="I68" i="15"/>
  <c r="J68" i="15" s="1"/>
  <c r="K68" i="15" s="1"/>
  <c r="I67" i="15"/>
  <c r="J67" i="15" s="1"/>
  <c r="K67" i="15" s="1"/>
  <c r="I66" i="15"/>
  <c r="J66" i="15" s="1"/>
  <c r="K66" i="15" s="1"/>
  <c r="I65" i="15"/>
  <c r="J65" i="15" s="1"/>
  <c r="K65" i="15" s="1"/>
  <c r="I64" i="15"/>
  <c r="J64" i="15" s="1"/>
  <c r="K64" i="15" s="1"/>
  <c r="I63" i="15"/>
  <c r="J63" i="15" s="1"/>
  <c r="K63" i="15" s="1"/>
  <c r="I62" i="15"/>
  <c r="J62" i="15" s="1"/>
  <c r="K62" i="15" s="1"/>
  <c r="I61" i="15"/>
  <c r="J61" i="15" s="1"/>
  <c r="K61" i="15" s="1"/>
  <c r="I60" i="15"/>
  <c r="J60" i="15" s="1"/>
  <c r="K60" i="15" s="1"/>
  <c r="I59" i="15"/>
  <c r="J59" i="15" s="1"/>
  <c r="K59" i="15" s="1"/>
  <c r="I58" i="15"/>
  <c r="J58" i="15" s="1"/>
  <c r="K58" i="15" s="1"/>
  <c r="I57" i="15"/>
  <c r="J57" i="15" s="1"/>
  <c r="K57" i="15" s="1"/>
  <c r="I56" i="15"/>
  <c r="J56" i="15" s="1"/>
  <c r="K56" i="15" s="1"/>
  <c r="I55" i="15"/>
  <c r="J55" i="15" s="1"/>
  <c r="K55" i="15" s="1"/>
  <c r="I54" i="15"/>
  <c r="J54" i="15" s="1"/>
  <c r="K54" i="15" s="1"/>
  <c r="I53" i="15"/>
  <c r="J53" i="15" s="1"/>
  <c r="K53" i="15" s="1"/>
  <c r="I52" i="15"/>
  <c r="J52" i="15" s="1"/>
  <c r="K52" i="15" s="1"/>
  <c r="I51" i="15"/>
  <c r="J51" i="15" s="1"/>
  <c r="K51" i="15" s="1"/>
  <c r="I50" i="15"/>
  <c r="J50" i="15" s="1"/>
  <c r="K50" i="15" s="1"/>
  <c r="I49" i="15"/>
  <c r="J49" i="15" s="1"/>
  <c r="K49" i="15" s="1"/>
  <c r="I48" i="15"/>
  <c r="J48" i="15" s="1"/>
  <c r="K48" i="15" s="1"/>
  <c r="I47" i="15"/>
  <c r="J47" i="15" s="1"/>
  <c r="K47" i="15" s="1"/>
  <c r="I46" i="15"/>
  <c r="J46" i="15" s="1"/>
  <c r="K46" i="15" s="1"/>
  <c r="I45" i="15"/>
  <c r="J45" i="15" s="1"/>
  <c r="K45" i="15" s="1"/>
  <c r="I44" i="15"/>
  <c r="J44" i="15" s="1"/>
  <c r="K44" i="15" s="1"/>
  <c r="I43" i="15"/>
  <c r="J43" i="15" s="1"/>
  <c r="K43" i="15" s="1"/>
  <c r="I42" i="15"/>
  <c r="J42" i="15" s="1"/>
  <c r="K42" i="15" s="1"/>
  <c r="I41" i="15"/>
  <c r="J41" i="15" s="1"/>
  <c r="K41" i="15" s="1"/>
  <c r="I40" i="15"/>
  <c r="J40" i="15" s="1"/>
  <c r="K40" i="15" s="1"/>
  <c r="I39" i="15"/>
  <c r="J39" i="15" s="1"/>
  <c r="K39" i="15" s="1"/>
  <c r="I38" i="15"/>
  <c r="J38" i="15" s="1"/>
  <c r="K38" i="15" s="1"/>
  <c r="I37" i="15"/>
  <c r="J37" i="15" s="1"/>
  <c r="K37" i="15" s="1"/>
  <c r="I36" i="15"/>
  <c r="J36" i="15" s="1"/>
  <c r="K36" i="15" s="1"/>
  <c r="J35" i="15"/>
  <c r="K35" i="15" s="1"/>
  <c r="I35" i="15"/>
  <c r="I34" i="15"/>
  <c r="J34" i="15" s="1"/>
  <c r="K34" i="15" s="1"/>
  <c r="I33" i="15"/>
  <c r="J33" i="15" s="1"/>
  <c r="K33" i="15" s="1"/>
  <c r="I32" i="15"/>
  <c r="J32" i="15" s="1"/>
  <c r="K32" i="15" s="1"/>
  <c r="I31" i="15"/>
  <c r="J31" i="15" s="1"/>
  <c r="K31" i="15" s="1"/>
  <c r="I30" i="15"/>
  <c r="J30" i="15" s="1"/>
  <c r="K30" i="15" s="1"/>
  <c r="I29" i="15"/>
  <c r="J29" i="15" s="1"/>
  <c r="K29" i="15" s="1"/>
  <c r="I28" i="15"/>
  <c r="J28" i="15" s="1"/>
  <c r="K28" i="15" s="1"/>
  <c r="I27" i="15"/>
  <c r="J27" i="15" s="1"/>
  <c r="K27" i="15" s="1"/>
  <c r="I26" i="15"/>
  <c r="J26" i="15" s="1"/>
  <c r="K26" i="15" s="1"/>
  <c r="I25" i="15"/>
  <c r="J25" i="15" s="1"/>
  <c r="K25" i="15" s="1"/>
  <c r="I24" i="15"/>
  <c r="J24" i="15" s="1"/>
  <c r="K24" i="15" s="1"/>
  <c r="I23" i="15"/>
  <c r="J23" i="15" s="1"/>
  <c r="K23" i="15" s="1"/>
  <c r="I22" i="15"/>
  <c r="J22" i="15" s="1"/>
  <c r="K22" i="15" s="1"/>
  <c r="I21" i="15"/>
  <c r="J21" i="15" s="1"/>
  <c r="K21" i="15" s="1"/>
  <c r="I20" i="15"/>
  <c r="J20" i="15" s="1"/>
  <c r="K20" i="15" s="1"/>
  <c r="I19" i="15"/>
  <c r="J19" i="15" s="1"/>
  <c r="K19" i="15" s="1"/>
  <c r="I18" i="15"/>
  <c r="J18" i="15" s="1"/>
  <c r="K18" i="15" s="1"/>
  <c r="I17" i="15"/>
  <c r="J17" i="15" s="1"/>
  <c r="K17" i="15" s="1"/>
  <c r="I16" i="15"/>
  <c r="J16" i="15" s="1"/>
  <c r="K16" i="15" s="1"/>
  <c r="I15" i="15"/>
  <c r="J15" i="15" s="1"/>
  <c r="K15" i="15" s="1"/>
  <c r="I14" i="15"/>
  <c r="J14" i="15" s="1"/>
  <c r="K14" i="15" s="1"/>
  <c r="I13" i="15"/>
  <c r="J13" i="15" s="1"/>
  <c r="K13" i="15" s="1"/>
  <c r="I12" i="15"/>
  <c r="J12" i="15" s="1"/>
  <c r="K12" i="15" s="1"/>
  <c r="I11" i="15"/>
  <c r="J11" i="15" s="1"/>
  <c r="K11" i="15" s="1"/>
  <c r="I10" i="15"/>
  <c r="J10" i="15" s="1"/>
  <c r="K10" i="15" s="1"/>
  <c r="I9" i="15"/>
  <c r="J9" i="15" s="1"/>
  <c r="K9" i="15" s="1"/>
  <c r="I8" i="15"/>
  <c r="J8" i="15" s="1"/>
  <c r="K8" i="15" s="1"/>
  <c r="I7" i="15"/>
  <c r="J7" i="15" s="1"/>
  <c r="K7" i="15" s="1"/>
  <c r="I6" i="15"/>
  <c r="J6" i="15" s="1"/>
  <c r="K6" i="15" s="1"/>
  <c r="I5" i="15"/>
  <c r="J5" i="15" s="1"/>
  <c r="K5" i="15" s="1"/>
  <c r="I4" i="15"/>
  <c r="J4" i="15" s="1"/>
  <c r="K4" i="15" s="1"/>
  <c r="I3" i="15"/>
  <c r="J3" i="15" s="1"/>
  <c r="K3" i="15" s="1"/>
  <c r="I2" i="15"/>
  <c r="J2" i="15" s="1"/>
  <c r="K2" i="15" s="1"/>
  <c r="M15" i="15" s="1"/>
  <c r="M26" i="14"/>
  <c r="M16" i="14"/>
  <c r="M3" i="14"/>
  <c r="M4" i="14"/>
  <c r="M5" i="14"/>
  <c r="M6" i="14"/>
  <c r="M7" i="14"/>
  <c r="M8" i="14"/>
  <c r="M9" i="14"/>
  <c r="M13" i="14"/>
  <c r="M14" i="14"/>
  <c r="M15" i="14"/>
  <c r="M17" i="14"/>
  <c r="M18" i="14"/>
  <c r="M19" i="14"/>
  <c r="M21" i="14"/>
  <c r="M22" i="14"/>
  <c r="M23" i="14"/>
  <c r="M24" i="14"/>
  <c r="M25" i="14"/>
  <c r="M27" i="14"/>
  <c r="M28" i="14"/>
  <c r="M29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2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K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2" i="13"/>
  <c r="J2" i="13" s="1"/>
  <c r="K2" i="13" s="1"/>
  <c r="I3" i="13"/>
  <c r="I4" i="13"/>
  <c r="I5" i="13"/>
  <c r="I6" i="13"/>
  <c r="I7" i="13"/>
  <c r="I8" i="13"/>
  <c r="I9" i="13"/>
  <c r="I10" i="13"/>
  <c r="J10" i="13" s="1"/>
  <c r="K10" i="13" s="1"/>
  <c r="I11" i="13"/>
  <c r="I12" i="13"/>
  <c r="I13" i="13"/>
  <c r="I14" i="13"/>
  <c r="J14" i="13" s="1"/>
  <c r="K14" i="13" s="1"/>
  <c r="I15" i="13"/>
  <c r="I16" i="13"/>
  <c r="I17" i="13"/>
  <c r="I18" i="13"/>
  <c r="J18" i="13" s="1"/>
  <c r="K18" i="13" s="1"/>
  <c r="I19" i="13"/>
  <c r="I20" i="13"/>
  <c r="I21" i="13"/>
  <c r="I22" i="13"/>
  <c r="J22" i="13" s="1"/>
  <c r="K22" i="13" s="1"/>
  <c r="I23" i="13"/>
  <c r="I24" i="13"/>
  <c r="I25" i="13"/>
  <c r="I26" i="13"/>
  <c r="J26" i="13" s="1"/>
  <c r="K26" i="13" s="1"/>
  <c r="I27" i="13"/>
  <c r="I28" i="13"/>
  <c r="I29" i="13"/>
  <c r="I30" i="13"/>
  <c r="J30" i="13" s="1"/>
  <c r="K30" i="13" s="1"/>
  <c r="I31" i="13"/>
  <c r="I32" i="13"/>
  <c r="I33" i="13"/>
  <c r="I34" i="13"/>
  <c r="J34" i="13" s="1"/>
  <c r="K34" i="13" s="1"/>
  <c r="I35" i="13"/>
  <c r="I36" i="13"/>
  <c r="I37" i="13"/>
  <c r="I38" i="13"/>
  <c r="J38" i="13" s="1"/>
  <c r="K38" i="13" s="1"/>
  <c r="I39" i="13"/>
  <c r="I40" i="13"/>
  <c r="I41" i="13"/>
  <c r="I42" i="13"/>
  <c r="J42" i="13" s="1"/>
  <c r="K42" i="13" s="1"/>
  <c r="I43" i="13"/>
  <c r="I44" i="13"/>
  <c r="I45" i="13"/>
  <c r="I46" i="13"/>
  <c r="J46" i="13" s="1"/>
  <c r="K46" i="13" s="1"/>
  <c r="I47" i="13"/>
  <c r="I48" i="13"/>
  <c r="J48" i="13" s="1"/>
  <c r="K48" i="13" s="1"/>
  <c r="I49" i="13"/>
  <c r="I50" i="13"/>
  <c r="I51" i="13"/>
  <c r="I52" i="13"/>
  <c r="I53" i="13"/>
  <c r="I54" i="13"/>
  <c r="J54" i="13" s="1"/>
  <c r="K54" i="13" s="1"/>
  <c r="I55" i="13"/>
  <c r="I56" i="13"/>
  <c r="I57" i="13"/>
  <c r="I58" i="13"/>
  <c r="J58" i="13" s="1"/>
  <c r="K58" i="13" s="1"/>
  <c r="I59" i="13"/>
  <c r="I60" i="13"/>
  <c r="I61" i="13"/>
  <c r="J61" i="13" s="1"/>
  <c r="K61" i="13" s="1"/>
  <c r="I62" i="13"/>
  <c r="J62" i="13" s="1"/>
  <c r="K62" i="13" s="1"/>
  <c r="I63" i="13"/>
  <c r="I64" i="13"/>
  <c r="J64" i="13" s="1"/>
  <c r="K64" i="13" s="1"/>
  <c r="I65" i="13"/>
  <c r="I66" i="13"/>
  <c r="I67" i="13"/>
  <c r="I68" i="13"/>
  <c r="I69" i="13"/>
  <c r="J69" i="13" s="1"/>
  <c r="K69" i="13" s="1"/>
  <c r="I70" i="13"/>
  <c r="J70" i="13" s="1"/>
  <c r="K70" i="13" s="1"/>
  <c r="I71" i="13"/>
  <c r="I72" i="13"/>
  <c r="I73" i="13"/>
  <c r="I74" i="13"/>
  <c r="J74" i="13" s="1"/>
  <c r="K74" i="13" s="1"/>
  <c r="I75" i="13"/>
  <c r="I76" i="13"/>
  <c r="I77" i="13"/>
  <c r="J77" i="13" s="1"/>
  <c r="K77" i="13" s="1"/>
  <c r="I78" i="13"/>
  <c r="J78" i="13" s="1"/>
  <c r="K78" i="13" s="1"/>
  <c r="I79" i="13"/>
  <c r="I80" i="13"/>
  <c r="I81" i="13"/>
  <c r="I82" i="13"/>
  <c r="J82" i="13" s="1"/>
  <c r="K82" i="13" s="1"/>
  <c r="I83" i="13"/>
  <c r="I84" i="13"/>
  <c r="I85" i="13"/>
  <c r="J85" i="13" s="1"/>
  <c r="K85" i="13" s="1"/>
  <c r="I86" i="13"/>
  <c r="J86" i="13" s="1"/>
  <c r="K86" i="13" s="1"/>
  <c r="I87" i="13"/>
  <c r="I88" i="13"/>
  <c r="I89" i="13"/>
  <c r="I90" i="13"/>
  <c r="J90" i="13" s="1"/>
  <c r="K90" i="13" s="1"/>
  <c r="I91" i="13"/>
  <c r="I92" i="13"/>
  <c r="J92" i="13" s="1"/>
  <c r="K92" i="13" s="1"/>
  <c r="I93" i="13"/>
  <c r="J93" i="13" s="1"/>
  <c r="K93" i="13" s="1"/>
  <c r="I94" i="13"/>
  <c r="J94" i="13" s="1"/>
  <c r="K94" i="13" s="1"/>
  <c r="I95" i="13"/>
  <c r="I96" i="13"/>
  <c r="I97" i="13"/>
  <c r="I98" i="13"/>
  <c r="J98" i="13" s="1"/>
  <c r="K98" i="13" s="1"/>
  <c r="I99" i="13"/>
  <c r="I100" i="13"/>
  <c r="J100" i="13" s="1"/>
  <c r="K100" i="13" s="1"/>
  <c r="I101" i="13"/>
  <c r="J101" i="13" s="1"/>
  <c r="K101" i="13" s="1"/>
  <c r="J56" i="13"/>
  <c r="K56" i="13" s="1"/>
  <c r="J67" i="13"/>
  <c r="K67" i="13" s="1"/>
  <c r="J68" i="13"/>
  <c r="K68" i="13" s="1"/>
  <c r="J71" i="13"/>
  <c r="K71" i="13" s="1"/>
  <c r="J72" i="13"/>
  <c r="K72" i="13" s="1"/>
  <c r="J73" i="13"/>
  <c r="K73" i="13" s="1"/>
  <c r="J75" i="13"/>
  <c r="K75" i="13" s="1"/>
  <c r="J76" i="13"/>
  <c r="K76" i="13" s="1"/>
  <c r="J79" i="13"/>
  <c r="K79" i="13" s="1"/>
  <c r="J80" i="13"/>
  <c r="K80" i="13" s="1"/>
  <c r="J81" i="13"/>
  <c r="K81" i="13" s="1"/>
  <c r="J83" i="13"/>
  <c r="K83" i="13" s="1"/>
  <c r="J84" i="13"/>
  <c r="K84" i="13" s="1"/>
  <c r="J87" i="13"/>
  <c r="K87" i="13" s="1"/>
  <c r="J88" i="13"/>
  <c r="K88" i="13" s="1"/>
  <c r="J89" i="13"/>
  <c r="K89" i="13" s="1"/>
  <c r="J91" i="13"/>
  <c r="K91" i="13" s="1"/>
  <c r="J95" i="13"/>
  <c r="K95" i="13" s="1"/>
  <c r="J96" i="13"/>
  <c r="K96" i="13" s="1"/>
  <c r="J97" i="13"/>
  <c r="K97" i="13" s="1"/>
  <c r="J99" i="13"/>
  <c r="K99" i="13" s="1"/>
  <c r="J52" i="13"/>
  <c r="K52" i="13" s="1"/>
  <c r="J53" i="13"/>
  <c r="K53" i="13" s="1"/>
  <c r="J55" i="13"/>
  <c r="K55" i="13" s="1"/>
  <c r="J57" i="13"/>
  <c r="K57" i="13" s="1"/>
  <c r="J59" i="13"/>
  <c r="K59" i="13" s="1"/>
  <c r="J60" i="13"/>
  <c r="K60" i="13" s="1"/>
  <c r="J63" i="13"/>
  <c r="K63" i="13" s="1"/>
  <c r="J65" i="13"/>
  <c r="K65" i="13" s="1"/>
  <c r="J66" i="13"/>
  <c r="K66" i="13" s="1"/>
  <c r="J50" i="13"/>
  <c r="K50" i="13" s="1"/>
  <c r="J51" i="13"/>
  <c r="K51" i="13" s="1"/>
  <c r="J49" i="13"/>
  <c r="K49" i="13" s="1"/>
  <c r="J47" i="13"/>
  <c r="K47" i="13" s="1"/>
  <c r="J45" i="13"/>
  <c r="K45" i="13" s="1"/>
  <c r="J44" i="13"/>
  <c r="K44" i="13" s="1"/>
  <c r="J43" i="13"/>
  <c r="K43" i="13" s="1"/>
  <c r="J41" i="13"/>
  <c r="K41" i="13" s="1"/>
  <c r="J40" i="13"/>
  <c r="K40" i="13" s="1"/>
  <c r="J39" i="13"/>
  <c r="K39" i="13" s="1"/>
  <c r="J37" i="13"/>
  <c r="K37" i="13" s="1"/>
  <c r="J36" i="13"/>
  <c r="K36" i="13" s="1"/>
  <c r="J35" i="13"/>
  <c r="K35" i="13" s="1"/>
  <c r="J33" i="13"/>
  <c r="K33" i="13" s="1"/>
  <c r="J32" i="13"/>
  <c r="K32" i="13" s="1"/>
  <c r="J31" i="13"/>
  <c r="K31" i="13" s="1"/>
  <c r="J29" i="13"/>
  <c r="K29" i="13" s="1"/>
  <c r="J28" i="13"/>
  <c r="K28" i="13" s="1"/>
  <c r="J27" i="13"/>
  <c r="K27" i="13" s="1"/>
  <c r="J25" i="13"/>
  <c r="K25" i="13" s="1"/>
  <c r="J24" i="13"/>
  <c r="K24" i="13" s="1"/>
  <c r="J23" i="13"/>
  <c r="K23" i="13" s="1"/>
  <c r="J21" i="13"/>
  <c r="K21" i="13" s="1"/>
  <c r="J20" i="13"/>
  <c r="K20" i="13" s="1"/>
  <c r="J19" i="13"/>
  <c r="K19" i="13" s="1"/>
  <c r="J17" i="13"/>
  <c r="K17" i="13" s="1"/>
  <c r="J16" i="13"/>
  <c r="K16" i="13" s="1"/>
  <c r="J15" i="13"/>
  <c r="K15" i="13" s="1"/>
  <c r="J13" i="13"/>
  <c r="K13" i="13" s="1"/>
  <c r="J12" i="13"/>
  <c r="K12" i="13" s="1"/>
  <c r="J11" i="13"/>
  <c r="K11" i="13" s="1"/>
  <c r="J9" i="13"/>
  <c r="K9" i="13" s="1"/>
  <c r="J8" i="13"/>
  <c r="K8" i="13" s="1"/>
  <c r="J7" i="13"/>
  <c r="K7" i="13" s="1"/>
  <c r="J6" i="13"/>
  <c r="K6" i="13" s="1"/>
  <c r="J5" i="13"/>
  <c r="K5" i="13" s="1"/>
  <c r="J4" i="13"/>
  <c r="K4" i="13" s="1"/>
  <c r="J3" i="13"/>
  <c r="K3" i="13" s="1"/>
  <c r="I101" i="6"/>
  <c r="J101" i="6" s="1"/>
  <c r="K101" i="6" s="1"/>
  <c r="I100" i="6"/>
  <c r="J100" i="6" s="1"/>
  <c r="K100" i="6" s="1"/>
  <c r="J99" i="6"/>
  <c r="K99" i="6" s="1"/>
  <c r="I99" i="6"/>
  <c r="J98" i="6"/>
  <c r="K98" i="6" s="1"/>
  <c r="I98" i="6"/>
  <c r="J97" i="6"/>
  <c r="K97" i="6" s="1"/>
  <c r="I97" i="6"/>
  <c r="K96" i="6"/>
  <c r="J96" i="6"/>
  <c r="I96" i="6"/>
  <c r="I95" i="6"/>
  <c r="J95" i="6" s="1"/>
  <c r="K95" i="6" s="1"/>
  <c r="I94" i="6"/>
  <c r="J94" i="6" s="1"/>
  <c r="K94" i="6" s="1"/>
  <c r="I93" i="6"/>
  <c r="J93" i="6" s="1"/>
  <c r="K93" i="6" s="1"/>
  <c r="I92" i="6"/>
  <c r="J92" i="6" s="1"/>
  <c r="K92" i="6" s="1"/>
  <c r="J91" i="6"/>
  <c r="K91" i="6" s="1"/>
  <c r="I91" i="6"/>
  <c r="J90" i="6"/>
  <c r="K90" i="6" s="1"/>
  <c r="I90" i="6"/>
  <c r="J89" i="6"/>
  <c r="K89" i="6" s="1"/>
  <c r="I89" i="6"/>
  <c r="K88" i="6"/>
  <c r="J88" i="6"/>
  <c r="I88" i="6"/>
  <c r="I87" i="6"/>
  <c r="J87" i="6" s="1"/>
  <c r="K87" i="6" s="1"/>
  <c r="I86" i="6"/>
  <c r="J86" i="6" s="1"/>
  <c r="K86" i="6" s="1"/>
  <c r="I85" i="6"/>
  <c r="J85" i="6" s="1"/>
  <c r="K85" i="6" s="1"/>
  <c r="I84" i="6"/>
  <c r="J84" i="6" s="1"/>
  <c r="K84" i="6" s="1"/>
  <c r="J83" i="6"/>
  <c r="K83" i="6" s="1"/>
  <c r="I83" i="6"/>
  <c r="J82" i="6"/>
  <c r="K82" i="6" s="1"/>
  <c r="I82" i="6"/>
  <c r="J81" i="6"/>
  <c r="K81" i="6" s="1"/>
  <c r="I81" i="6"/>
  <c r="K80" i="6"/>
  <c r="J80" i="6"/>
  <c r="I80" i="6"/>
  <c r="I79" i="6"/>
  <c r="J79" i="6" s="1"/>
  <c r="K79" i="6" s="1"/>
  <c r="I78" i="6"/>
  <c r="J78" i="6" s="1"/>
  <c r="K78" i="6" s="1"/>
  <c r="I77" i="6"/>
  <c r="J77" i="6" s="1"/>
  <c r="K77" i="6" s="1"/>
  <c r="I76" i="6"/>
  <c r="J76" i="6" s="1"/>
  <c r="K76" i="6" s="1"/>
  <c r="I75" i="6"/>
  <c r="J75" i="6" s="1"/>
  <c r="K75" i="6" s="1"/>
  <c r="J74" i="6"/>
  <c r="K74" i="6" s="1"/>
  <c r="I74" i="6"/>
  <c r="J73" i="6"/>
  <c r="K73" i="6" s="1"/>
  <c r="I73" i="6"/>
  <c r="J72" i="6"/>
  <c r="K72" i="6" s="1"/>
  <c r="I72" i="6"/>
  <c r="I71" i="6"/>
  <c r="J71" i="6" s="1"/>
  <c r="K71" i="6" s="1"/>
  <c r="I70" i="6"/>
  <c r="J70" i="6" s="1"/>
  <c r="K70" i="6" s="1"/>
  <c r="I69" i="6"/>
  <c r="J69" i="6" s="1"/>
  <c r="K69" i="6" s="1"/>
  <c r="I68" i="6"/>
  <c r="J68" i="6" s="1"/>
  <c r="K68" i="6" s="1"/>
  <c r="I67" i="6"/>
  <c r="J67" i="6" s="1"/>
  <c r="K67" i="6" s="1"/>
  <c r="J66" i="6"/>
  <c r="K66" i="6" s="1"/>
  <c r="I66" i="6"/>
  <c r="J65" i="6"/>
  <c r="K65" i="6" s="1"/>
  <c r="I65" i="6"/>
  <c r="J64" i="6"/>
  <c r="K64" i="6" s="1"/>
  <c r="I64" i="6"/>
  <c r="I63" i="6"/>
  <c r="J63" i="6" s="1"/>
  <c r="K63" i="6" s="1"/>
  <c r="I62" i="6"/>
  <c r="J62" i="6" s="1"/>
  <c r="K62" i="6" s="1"/>
  <c r="I61" i="6"/>
  <c r="J61" i="6" s="1"/>
  <c r="K61" i="6" s="1"/>
  <c r="I60" i="6"/>
  <c r="J60" i="6" s="1"/>
  <c r="K60" i="6" s="1"/>
  <c r="I59" i="6"/>
  <c r="J59" i="6" s="1"/>
  <c r="K59" i="6" s="1"/>
  <c r="J58" i="6"/>
  <c r="K58" i="6" s="1"/>
  <c r="I58" i="6"/>
  <c r="J57" i="6"/>
  <c r="K57" i="6" s="1"/>
  <c r="I57" i="6"/>
  <c r="J56" i="6"/>
  <c r="K56" i="6" s="1"/>
  <c r="I56" i="6"/>
  <c r="K55" i="6"/>
  <c r="J55" i="6"/>
  <c r="I55" i="6"/>
  <c r="I54" i="6"/>
  <c r="J54" i="6" s="1"/>
  <c r="K54" i="6" s="1"/>
  <c r="J53" i="6"/>
  <c r="K53" i="6" s="1"/>
  <c r="I53" i="6"/>
  <c r="J52" i="6"/>
  <c r="K52" i="6" s="1"/>
  <c r="I52" i="6"/>
  <c r="J51" i="6"/>
  <c r="K51" i="6" s="1"/>
  <c r="I51" i="6"/>
  <c r="K50" i="6"/>
  <c r="J50" i="6"/>
  <c r="I50" i="6"/>
  <c r="I49" i="6"/>
  <c r="J49" i="6" s="1"/>
  <c r="K49" i="6" s="1"/>
  <c r="I48" i="6"/>
  <c r="J48" i="6" s="1"/>
  <c r="K48" i="6" s="1"/>
  <c r="I47" i="6"/>
  <c r="J47" i="6" s="1"/>
  <c r="K47" i="6" s="1"/>
  <c r="I46" i="6"/>
  <c r="J46" i="6" s="1"/>
  <c r="K46" i="6" s="1"/>
  <c r="J45" i="6"/>
  <c r="K45" i="6" s="1"/>
  <c r="I45" i="6"/>
  <c r="J44" i="6"/>
  <c r="K44" i="6" s="1"/>
  <c r="I44" i="6"/>
  <c r="J43" i="6"/>
  <c r="K43" i="6" s="1"/>
  <c r="I43" i="6"/>
  <c r="K42" i="6"/>
  <c r="J42" i="6"/>
  <c r="I42" i="6"/>
  <c r="I41" i="6"/>
  <c r="J41" i="6" s="1"/>
  <c r="K41" i="6" s="1"/>
  <c r="I40" i="6"/>
  <c r="J40" i="6" s="1"/>
  <c r="K40" i="6" s="1"/>
  <c r="I39" i="6"/>
  <c r="J39" i="6" s="1"/>
  <c r="K39" i="6" s="1"/>
  <c r="I38" i="6"/>
  <c r="J38" i="6" s="1"/>
  <c r="K38" i="6" s="1"/>
  <c r="J37" i="6"/>
  <c r="K37" i="6" s="1"/>
  <c r="I37" i="6"/>
  <c r="J36" i="6"/>
  <c r="K36" i="6" s="1"/>
  <c r="I36" i="6"/>
  <c r="J35" i="6"/>
  <c r="K35" i="6" s="1"/>
  <c r="I35" i="6"/>
  <c r="K34" i="6"/>
  <c r="J34" i="6"/>
  <c r="I34" i="6"/>
  <c r="I33" i="6"/>
  <c r="J33" i="6" s="1"/>
  <c r="K33" i="6" s="1"/>
  <c r="I32" i="6"/>
  <c r="J32" i="6" s="1"/>
  <c r="K32" i="6" s="1"/>
  <c r="I31" i="6"/>
  <c r="J31" i="6" s="1"/>
  <c r="K31" i="6" s="1"/>
  <c r="I30" i="6"/>
  <c r="J30" i="6" s="1"/>
  <c r="K30" i="6" s="1"/>
  <c r="I29" i="6"/>
  <c r="J29" i="6" s="1"/>
  <c r="K29" i="6" s="1"/>
  <c r="J28" i="6"/>
  <c r="K28" i="6" s="1"/>
  <c r="I28" i="6"/>
  <c r="J27" i="6"/>
  <c r="K27" i="6" s="1"/>
  <c r="I27" i="6"/>
  <c r="J26" i="6"/>
  <c r="K26" i="6" s="1"/>
  <c r="I26" i="6"/>
  <c r="I25" i="6"/>
  <c r="J25" i="6" s="1"/>
  <c r="K25" i="6" s="1"/>
  <c r="I24" i="6"/>
  <c r="J24" i="6" s="1"/>
  <c r="K24" i="6" s="1"/>
  <c r="I23" i="6"/>
  <c r="J23" i="6" s="1"/>
  <c r="K23" i="6" s="1"/>
  <c r="I22" i="6"/>
  <c r="J22" i="6" s="1"/>
  <c r="K22" i="6" s="1"/>
  <c r="I21" i="6"/>
  <c r="J21" i="6" s="1"/>
  <c r="K21" i="6" s="1"/>
  <c r="J20" i="6"/>
  <c r="K20" i="6" s="1"/>
  <c r="I20" i="6"/>
  <c r="J19" i="6"/>
  <c r="K19" i="6" s="1"/>
  <c r="I19" i="6"/>
  <c r="J18" i="6"/>
  <c r="K18" i="6" s="1"/>
  <c r="I18" i="6"/>
  <c r="I17" i="6"/>
  <c r="J17" i="6" s="1"/>
  <c r="K17" i="6" s="1"/>
  <c r="I16" i="6"/>
  <c r="J16" i="6" s="1"/>
  <c r="K16" i="6" s="1"/>
  <c r="I15" i="6"/>
  <c r="J15" i="6" s="1"/>
  <c r="K15" i="6" s="1"/>
  <c r="I14" i="6"/>
  <c r="J14" i="6" s="1"/>
  <c r="K14" i="6" s="1"/>
  <c r="I13" i="6"/>
  <c r="J13" i="6" s="1"/>
  <c r="K13" i="6" s="1"/>
  <c r="J12" i="6"/>
  <c r="K12" i="6" s="1"/>
  <c r="I12" i="6"/>
  <c r="J11" i="6"/>
  <c r="K11" i="6" s="1"/>
  <c r="I11" i="6"/>
  <c r="J10" i="6"/>
  <c r="K10" i="6" s="1"/>
  <c r="I10" i="6"/>
  <c r="I9" i="6"/>
  <c r="J9" i="6" s="1"/>
  <c r="K9" i="6" s="1"/>
  <c r="I8" i="6"/>
  <c r="J8" i="6" s="1"/>
  <c r="K8" i="6" s="1"/>
  <c r="I7" i="6"/>
  <c r="J7" i="6" s="1"/>
  <c r="K7" i="6" s="1"/>
  <c r="I6" i="6"/>
  <c r="J6" i="6" s="1"/>
  <c r="K6" i="6" s="1"/>
  <c r="I5" i="6"/>
  <c r="J5" i="6" s="1"/>
  <c r="K5" i="6" s="1"/>
  <c r="I4" i="6"/>
  <c r="J4" i="6" s="1"/>
  <c r="K4" i="6" s="1"/>
  <c r="I3" i="6"/>
  <c r="J3" i="6" s="1"/>
  <c r="K3" i="6" s="1"/>
  <c r="J2" i="6"/>
  <c r="K2" i="6" s="1"/>
  <c r="I2" i="6"/>
  <c r="K54" i="1"/>
  <c r="I51" i="7"/>
  <c r="J51" i="7" s="1"/>
  <c r="K51" i="7" s="1"/>
  <c r="I50" i="7"/>
  <c r="J50" i="7" s="1"/>
  <c r="K50" i="7" s="1"/>
  <c r="I49" i="7"/>
  <c r="J49" i="7" s="1"/>
  <c r="K49" i="7" s="1"/>
  <c r="J48" i="7"/>
  <c r="K48" i="7" s="1"/>
  <c r="I48" i="7"/>
  <c r="I47" i="7"/>
  <c r="J47" i="7" s="1"/>
  <c r="K47" i="7" s="1"/>
  <c r="J46" i="7"/>
  <c r="K46" i="7" s="1"/>
  <c r="I46" i="7"/>
  <c r="I45" i="7"/>
  <c r="J45" i="7" s="1"/>
  <c r="K45" i="7" s="1"/>
  <c r="I44" i="7"/>
  <c r="J44" i="7" s="1"/>
  <c r="K44" i="7" s="1"/>
  <c r="I43" i="7"/>
  <c r="J43" i="7" s="1"/>
  <c r="K43" i="7" s="1"/>
  <c r="J42" i="7"/>
  <c r="K42" i="7" s="1"/>
  <c r="I42" i="7"/>
  <c r="I41" i="7"/>
  <c r="J41" i="7" s="1"/>
  <c r="K41" i="7" s="1"/>
  <c r="J40" i="7"/>
  <c r="K40" i="7" s="1"/>
  <c r="I40" i="7"/>
  <c r="I39" i="7"/>
  <c r="J39" i="7" s="1"/>
  <c r="K39" i="7" s="1"/>
  <c r="J38" i="7"/>
  <c r="K38" i="7" s="1"/>
  <c r="I38" i="7"/>
  <c r="I37" i="7"/>
  <c r="J37" i="7" s="1"/>
  <c r="K37" i="7" s="1"/>
  <c r="I36" i="7"/>
  <c r="J36" i="7" s="1"/>
  <c r="K36" i="7" s="1"/>
  <c r="I35" i="7"/>
  <c r="J35" i="7" s="1"/>
  <c r="K35" i="7" s="1"/>
  <c r="J34" i="7"/>
  <c r="K34" i="7" s="1"/>
  <c r="I34" i="7"/>
  <c r="I33" i="7"/>
  <c r="J33" i="7" s="1"/>
  <c r="K33" i="7" s="1"/>
  <c r="J32" i="7"/>
  <c r="K32" i="7" s="1"/>
  <c r="I32" i="7"/>
  <c r="I31" i="7"/>
  <c r="J31" i="7" s="1"/>
  <c r="K31" i="7" s="1"/>
  <c r="J30" i="7"/>
  <c r="K30" i="7" s="1"/>
  <c r="I30" i="7"/>
  <c r="I29" i="7"/>
  <c r="J29" i="7" s="1"/>
  <c r="K29" i="7" s="1"/>
  <c r="I28" i="7"/>
  <c r="J28" i="7" s="1"/>
  <c r="K28" i="7" s="1"/>
  <c r="I27" i="7"/>
  <c r="J27" i="7" s="1"/>
  <c r="K27" i="7" s="1"/>
  <c r="J26" i="7"/>
  <c r="K26" i="7" s="1"/>
  <c r="I26" i="7"/>
  <c r="I25" i="7"/>
  <c r="J25" i="7" s="1"/>
  <c r="K25" i="7" s="1"/>
  <c r="J24" i="7"/>
  <c r="K24" i="7" s="1"/>
  <c r="I24" i="7"/>
  <c r="I23" i="7"/>
  <c r="J23" i="7" s="1"/>
  <c r="K23" i="7" s="1"/>
  <c r="J22" i="7"/>
  <c r="K22" i="7" s="1"/>
  <c r="I22" i="7"/>
  <c r="I21" i="7"/>
  <c r="J21" i="7" s="1"/>
  <c r="K21" i="7" s="1"/>
  <c r="I20" i="7"/>
  <c r="J20" i="7" s="1"/>
  <c r="K20" i="7" s="1"/>
  <c r="I19" i="7"/>
  <c r="J19" i="7" s="1"/>
  <c r="K19" i="7" s="1"/>
  <c r="J18" i="7"/>
  <c r="K18" i="7" s="1"/>
  <c r="I18" i="7"/>
  <c r="I17" i="7"/>
  <c r="J17" i="7" s="1"/>
  <c r="K17" i="7" s="1"/>
  <c r="J16" i="7"/>
  <c r="K16" i="7" s="1"/>
  <c r="I16" i="7"/>
  <c r="I15" i="7"/>
  <c r="J15" i="7" s="1"/>
  <c r="K15" i="7" s="1"/>
  <c r="J14" i="7"/>
  <c r="K14" i="7" s="1"/>
  <c r="I14" i="7"/>
  <c r="I13" i="7"/>
  <c r="J13" i="7" s="1"/>
  <c r="K13" i="7" s="1"/>
  <c r="I12" i="7"/>
  <c r="J12" i="7" s="1"/>
  <c r="K12" i="7" s="1"/>
  <c r="I11" i="7"/>
  <c r="J11" i="7" s="1"/>
  <c r="K11" i="7" s="1"/>
  <c r="J10" i="7"/>
  <c r="K10" i="7" s="1"/>
  <c r="I10" i="7"/>
  <c r="I9" i="7"/>
  <c r="J9" i="7" s="1"/>
  <c r="K9" i="7" s="1"/>
  <c r="J8" i="7"/>
  <c r="K8" i="7" s="1"/>
  <c r="I8" i="7"/>
  <c r="I7" i="7"/>
  <c r="J7" i="7" s="1"/>
  <c r="K7" i="7" s="1"/>
  <c r="J6" i="7"/>
  <c r="K6" i="7" s="1"/>
  <c r="I6" i="7"/>
  <c r="I5" i="7"/>
  <c r="J5" i="7" s="1"/>
  <c r="K5" i="7" s="1"/>
  <c r="I4" i="7"/>
  <c r="J4" i="7" s="1"/>
  <c r="K4" i="7" s="1"/>
  <c r="I3" i="7"/>
  <c r="J3" i="7" s="1"/>
  <c r="K3" i="7" s="1"/>
  <c r="J2" i="7"/>
  <c r="K2" i="7" s="1"/>
  <c r="I2" i="7"/>
  <c r="I51" i="5"/>
  <c r="J51" i="5" s="1"/>
  <c r="K51" i="5" s="1"/>
  <c r="I50" i="5"/>
  <c r="J50" i="5" s="1"/>
  <c r="K50" i="5" s="1"/>
  <c r="I49" i="5"/>
  <c r="J49" i="5" s="1"/>
  <c r="K49" i="5" s="1"/>
  <c r="I48" i="5"/>
  <c r="J48" i="5" s="1"/>
  <c r="K48" i="5" s="1"/>
  <c r="I47" i="5"/>
  <c r="J47" i="5" s="1"/>
  <c r="K47" i="5" s="1"/>
  <c r="I46" i="5"/>
  <c r="J46" i="5" s="1"/>
  <c r="K46" i="5" s="1"/>
  <c r="I45" i="5"/>
  <c r="J45" i="5" s="1"/>
  <c r="K45" i="5" s="1"/>
  <c r="I44" i="5"/>
  <c r="J44" i="5" s="1"/>
  <c r="K44" i="5" s="1"/>
  <c r="I43" i="5"/>
  <c r="J43" i="5" s="1"/>
  <c r="K43" i="5" s="1"/>
  <c r="I42" i="5"/>
  <c r="J42" i="5" s="1"/>
  <c r="K42" i="5" s="1"/>
  <c r="I41" i="5"/>
  <c r="J41" i="5" s="1"/>
  <c r="K41" i="5" s="1"/>
  <c r="I40" i="5"/>
  <c r="J40" i="5" s="1"/>
  <c r="K40" i="5" s="1"/>
  <c r="I39" i="5"/>
  <c r="J39" i="5" s="1"/>
  <c r="K39" i="5" s="1"/>
  <c r="I38" i="5"/>
  <c r="J38" i="5" s="1"/>
  <c r="K38" i="5" s="1"/>
  <c r="I37" i="5"/>
  <c r="J37" i="5" s="1"/>
  <c r="K37" i="5" s="1"/>
  <c r="I36" i="5"/>
  <c r="J36" i="5" s="1"/>
  <c r="K36" i="5" s="1"/>
  <c r="I35" i="5"/>
  <c r="J35" i="5" s="1"/>
  <c r="K35" i="5" s="1"/>
  <c r="I34" i="5"/>
  <c r="J34" i="5" s="1"/>
  <c r="K34" i="5" s="1"/>
  <c r="I33" i="5"/>
  <c r="J33" i="5" s="1"/>
  <c r="K33" i="5" s="1"/>
  <c r="I32" i="5"/>
  <c r="J32" i="5" s="1"/>
  <c r="K32" i="5" s="1"/>
  <c r="I31" i="5"/>
  <c r="J31" i="5" s="1"/>
  <c r="K31" i="5" s="1"/>
  <c r="I30" i="5"/>
  <c r="J30" i="5" s="1"/>
  <c r="K30" i="5" s="1"/>
  <c r="I29" i="5"/>
  <c r="J29" i="5" s="1"/>
  <c r="K29" i="5" s="1"/>
  <c r="I28" i="5"/>
  <c r="J28" i="5" s="1"/>
  <c r="K28" i="5" s="1"/>
  <c r="I27" i="5"/>
  <c r="J27" i="5" s="1"/>
  <c r="K27" i="5" s="1"/>
  <c r="I26" i="5"/>
  <c r="J26" i="5" s="1"/>
  <c r="K26" i="5" s="1"/>
  <c r="I25" i="5"/>
  <c r="J25" i="5" s="1"/>
  <c r="K25" i="5" s="1"/>
  <c r="I24" i="5"/>
  <c r="J24" i="5" s="1"/>
  <c r="K24" i="5" s="1"/>
  <c r="I23" i="5"/>
  <c r="J23" i="5" s="1"/>
  <c r="K23" i="5" s="1"/>
  <c r="I22" i="5"/>
  <c r="J22" i="5" s="1"/>
  <c r="K22" i="5" s="1"/>
  <c r="I21" i="5"/>
  <c r="J21" i="5" s="1"/>
  <c r="K21" i="5" s="1"/>
  <c r="I20" i="5"/>
  <c r="J20" i="5" s="1"/>
  <c r="K20" i="5" s="1"/>
  <c r="I19" i="5"/>
  <c r="J19" i="5" s="1"/>
  <c r="K19" i="5" s="1"/>
  <c r="I18" i="5"/>
  <c r="J18" i="5" s="1"/>
  <c r="K18" i="5" s="1"/>
  <c r="I17" i="5"/>
  <c r="J17" i="5" s="1"/>
  <c r="K17" i="5" s="1"/>
  <c r="I16" i="5"/>
  <c r="J16" i="5" s="1"/>
  <c r="K16" i="5" s="1"/>
  <c r="I15" i="5"/>
  <c r="J15" i="5" s="1"/>
  <c r="K15" i="5" s="1"/>
  <c r="I14" i="5"/>
  <c r="J14" i="5" s="1"/>
  <c r="K14" i="5" s="1"/>
  <c r="I13" i="5"/>
  <c r="J13" i="5" s="1"/>
  <c r="K13" i="5" s="1"/>
  <c r="I12" i="5"/>
  <c r="J12" i="5" s="1"/>
  <c r="K12" i="5" s="1"/>
  <c r="I11" i="5"/>
  <c r="J11" i="5" s="1"/>
  <c r="K11" i="5" s="1"/>
  <c r="I10" i="5"/>
  <c r="J10" i="5" s="1"/>
  <c r="K10" i="5" s="1"/>
  <c r="I9" i="5"/>
  <c r="J9" i="5" s="1"/>
  <c r="K9" i="5" s="1"/>
  <c r="I8" i="5"/>
  <c r="J8" i="5" s="1"/>
  <c r="K8" i="5" s="1"/>
  <c r="I7" i="5"/>
  <c r="J7" i="5" s="1"/>
  <c r="K7" i="5" s="1"/>
  <c r="I6" i="5"/>
  <c r="J6" i="5" s="1"/>
  <c r="K6" i="5" s="1"/>
  <c r="I5" i="5"/>
  <c r="J5" i="5" s="1"/>
  <c r="K5" i="5" s="1"/>
  <c r="I4" i="5"/>
  <c r="J4" i="5" s="1"/>
  <c r="K4" i="5" s="1"/>
  <c r="I3" i="5"/>
  <c r="J3" i="5" s="1"/>
  <c r="K3" i="5" s="1"/>
  <c r="I2" i="5"/>
  <c r="J2" i="5" s="1"/>
  <c r="K2" i="5" s="1"/>
  <c r="I51" i="4"/>
  <c r="J51" i="4" s="1"/>
  <c r="K51" i="4" s="1"/>
  <c r="I50" i="4"/>
  <c r="J50" i="4" s="1"/>
  <c r="K50" i="4" s="1"/>
  <c r="I49" i="4"/>
  <c r="J49" i="4" s="1"/>
  <c r="K49" i="4" s="1"/>
  <c r="J48" i="4"/>
  <c r="K48" i="4" s="1"/>
  <c r="I48" i="4"/>
  <c r="I47" i="4"/>
  <c r="J47" i="4" s="1"/>
  <c r="K47" i="4" s="1"/>
  <c r="I46" i="4"/>
  <c r="J46" i="4" s="1"/>
  <c r="K46" i="4" s="1"/>
  <c r="I45" i="4"/>
  <c r="J45" i="4" s="1"/>
  <c r="K45" i="4" s="1"/>
  <c r="I44" i="4"/>
  <c r="J44" i="4" s="1"/>
  <c r="K44" i="4" s="1"/>
  <c r="I43" i="4"/>
  <c r="J43" i="4" s="1"/>
  <c r="K43" i="4" s="1"/>
  <c r="I42" i="4"/>
  <c r="J42" i="4" s="1"/>
  <c r="K42" i="4" s="1"/>
  <c r="I41" i="4"/>
  <c r="J41" i="4" s="1"/>
  <c r="K41" i="4" s="1"/>
  <c r="I40" i="4"/>
  <c r="J40" i="4" s="1"/>
  <c r="K40" i="4" s="1"/>
  <c r="I39" i="4"/>
  <c r="J39" i="4" s="1"/>
  <c r="K39" i="4" s="1"/>
  <c r="I38" i="4"/>
  <c r="J38" i="4" s="1"/>
  <c r="K38" i="4" s="1"/>
  <c r="I37" i="4"/>
  <c r="J37" i="4" s="1"/>
  <c r="K37" i="4" s="1"/>
  <c r="I36" i="4"/>
  <c r="J36" i="4" s="1"/>
  <c r="K36" i="4" s="1"/>
  <c r="I35" i="4"/>
  <c r="J35" i="4" s="1"/>
  <c r="K35" i="4" s="1"/>
  <c r="I34" i="4"/>
  <c r="J34" i="4" s="1"/>
  <c r="K34" i="4" s="1"/>
  <c r="I33" i="4"/>
  <c r="J33" i="4" s="1"/>
  <c r="K33" i="4" s="1"/>
  <c r="I32" i="4"/>
  <c r="J32" i="4" s="1"/>
  <c r="K32" i="4" s="1"/>
  <c r="I31" i="4"/>
  <c r="J31" i="4" s="1"/>
  <c r="K31" i="4" s="1"/>
  <c r="I30" i="4"/>
  <c r="J30" i="4" s="1"/>
  <c r="K30" i="4" s="1"/>
  <c r="I29" i="4"/>
  <c r="J29" i="4" s="1"/>
  <c r="K29" i="4" s="1"/>
  <c r="I28" i="4"/>
  <c r="J28" i="4" s="1"/>
  <c r="K28" i="4" s="1"/>
  <c r="I27" i="4"/>
  <c r="J27" i="4" s="1"/>
  <c r="K27" i="4" s="1"/>
  <c r="J26" i="4"/>
  <c r="K26" i="4" s="1"/>
  <c r="I26" i="4"/>
  <c r="I25" i="4"/>
  <c r="J25" i="4" s="1"/>
  <c r="K25" i="4" s="1"/>
  <c r="J24" i="4"/>
  <c r="K24" i="4" s="1"/>
  <c r="I24" i="4"/>
  <c r="I23" i="4"/>
  <c r="J23" i="4" s="1"/>
  <c r="K23" i="4" s="1"/>
  <c r="I22" i="4"/>
  <c r="J22" i="4" s="1"/>
  <c r="K22" i="4" s="1"/>
  <c r="I21" i="4"/>
  <c r="J21" i="4" s="1"/>
  <c r="K21" i="4" s="1"/>
  <c r="I20" i="4"/>
  <c r="J20" i="4" s="1"/>
  <c r="K20" i="4" s="1"/>
  <c r="I19" i="4"/>
  <c r="J19" i="4" s="1"/>
  <c r="K19" i="4" s="1"/>
  <c r="I18" i="4"/>
  <c r="J18" i="4" s="1"/>
  <c r="K18" i="4" s="1"/>
  <c r="I17" i="4"/>
  <c r="J17" i="4" s="1"/>
  <c r="K17" i="4" s="1"/>
  <c r="I16" i="4"/>
  <c r="J16" i="4" s="1"/>
  <c r="K16" i="4" s="1"/>
  <c r="J15" i="4"/>
  <c r="K15" i="4" s="1"/>
  <c r="I15" i="4"/>
  <c r="I14" i="4"/>
  <c r="J14" i="4" s="1"/>
  <c r="K14" i="4" s="1"/>
  <c r="I13" i="4"/>
  <c r="J13" i="4" s="1"/>
  <c r="K13" i="4" s="1"/>
  <c r="I12" i="4"/>
  <c r="J12" i="4" s="1"/>
  <c r="K12" i="4" s="1"/>
  <c r="I11" i="4"/>
  <c r="J11" i="4" s="1"/>
  <c r="K11" i="4" s="1"/>
  <c r="J10" i="4"/>
  <c r="K10" i="4" s="1"/>
  <c r="I10" i="4"/>
  <c r="I9" i="4"/>
  <c r="J9" i="4" s="1"/>
  <c r="K9" i="4" s="1"/>
  <c r="J8" i="4"/>
  <c r="K8" i="4" s="1"/>
  <c r="I8" i="4"/>
  <c r="J7" i="4"/>
  <c r="K7" i="4" s="1"/>
  <c r="I7" i="4"/>
  <c r="I6" i="4"/>
  <c r="J6" i="4" s="1"/>
  <c r="K6" i="4" s="1"/>
  <c r="I5" i="4"/>
  <c r="J5" i="4" s="1"/>
  <c r="K5" i="4" s="1"/>
  <c r="J4" i="4"/>
  <c r="K4" i="4" s="1"/>
  <c r="I4" i="4"/>
  <c r="I3" i="4"/>
  <c r="J3" i="4" s="1"/>
  <c r="K3" i="4" s="1"/>
  <c r="J2" i="4"/>
  <c r="K2" i="4" s="1"/>
  <c r="I2" i="4"/>
  <c r="I3" i="3"/>
  <c r="J3" i="3" s="1"/>
  <c r="K3" i="3" s="1"/>
  <c r="I4" i="3"/>
  <c r="J4" i="3" s="1"/>
  <c r="K4" i="3" s="1"/>
  <c r="I5" i="3"/>
  <c r="J5" i="3" s="1"/>
  <c r="K5" i="3" s="1"/>
  <c r="I6" i="3"/>
  <c r="J6" i="3" s="1"/>
  <c r="K6" i="3" s="1"/>
  <c r="I7" i="3"/>
  <c r="J7" i="3" s="1"/>
  <c r="K7" i="3" s="1"/>
  <c r="I8" i="3"/>
  <c r="J8" i="3" s="1"/>
  <c r="K8" i="3" s="1"/>
  <c r="I9" i="3"/>
  <c r="J9" i="3" s="1"/>
  <c r="K9" i="3" s="1"/>
  <c r="I10" i="3"/>
  <c r="J10" i="3" s="1"/>
  <c r="K10" i="3" s="1"/>
  <c r="I11" i="3"/>
  <c r="J11" i="3" s="1"/>
  <c r="K11" i="3" s="1"/>
  <c r="I12" i="3"/>
  <c r="J12" i="3" s="1"/>
  <c r="K12" i="3" s="1"/>
  <c r="I13" i="3"/>
  <c r="J13" i="3" s="1"/>
  <c r="K13" i="3" s="1"/>
  <c r="I14" i="3"/>
  <c r="J14" i="3" s="1"/>
  <c r="K14" i="3" s="1"/>
  <c r="I15" i="3"/>
  <c r="J15" i="3" s="1"/>
  <c r="K15" i="3" s="1"/>
  <c r="I16" i="3"/>
  <c r="J16" i="3" s="1"/>
  <c r="K16" i="3" s="1"/>
  <c r="I17" i="3"/>
  <c r="J17" i="3" s="1"/>
  <c r="K17" i="3" s="1"/>
  <c r="I18" i="3"/>
  <c r="J18" i="3" s="1"/>
  <c r="K18" i="3" s="1"/>
  <c r="I19" i="3"/>
  <c r="J19" i="3" s="1"/>
  <c r="K19" i="3" s="1"/>
  <c r="I20" i="3"/>
  <c r="J20" i="3" s="1"/>
  <c r="K20" i="3" s="1"/>
  <c r="I21" i="3"/>
  <c r="J21" i="3" s="1"/>
  <c r="K21" i="3" s="1"/>
  <c r="I22" i="3"/>
  <c r="J22" i="3" s="1"/>
  <c r="K22" i="3" s="1"/>
  <c r="I23" i="3"/>
  <c r="J23" i="3" s="1"/>
  <c r="K23" i="3" s="1"/>
  <c r="I24" i="3"/>
  <c r="J24" i="3" s="1"/>
  <c r="K24" i="3" s="1"/>
  <c r="I25" i="3"/>
  <c r="J25" i="3" s="1"/>
  <c r="K25" i="3" s="1"/>
  <c r="I26" i="3"/>
  <c r="J26" i="3" s="1"/>
  <c r="K26" i="3" s="1"/>
  <c r="I27" i="3"/>
  <c r="J27" i="3" s="1"/>
  <c r="K27" i="3" s="1"/>
  <c r="I28" i="3"/>
  <c r="J28" i="3" s="1"/>
  <c r="K28" i="3" s="1"/>
  <c r="I29" i="3"/>
  <c r="J29" i="3" s="1"/>
  <c r="K29" i="3" s="1"/>
  <c r="I30" i="3"/>
  <c r="J30" i="3" s="1"/>
  <c r="K30" i="3" s="1"/>
  <c r="I31" i="3"/>
  <c r="J31" i="3" s="1"/>
  <c r="K31" i="3" s="1"/>
  <c r="I32" i="3"/>
  <c r="J32" i="3" s="1"/>
  <c r="K32" i="3" s="1"/>
  <c r="I33" i="3"/>
  <c r="J33" i="3" s="1"/>
  <c r="K33" i="3" s="1"/>
  <c r="I34" i="3"/>
  <c r="J34" i="3" s="1"/>
  <c r="K34" i="3" s="1"/>
  <c r="I35" i="3"/>
  <c r="J35" i="3" s="1"/>
  <c r="K35" i="3" s="1"/>
  <c r="I36" i="3"/>
  <c r="J36" i="3" s="1"/>
  <c r="K36" i="3" s="1"/>
  <c r="I37" i="3"/>
  <c r="J37" i="3" s="1"/>
  <c r="K37" i="3" s="1"/>
  <c r="I38" i="3"/>
  <c r="J38" i="3" s="1"/>
  <c r="K38" i="3" s="1"/>
  <c r="I39" i="3"/>
  <c r="J39" i="3" s="1"/>
  <c r="K39" i="3" s="1"/>
  <c r="I40" i="3"/>
  <c r="J40" i="3" s="1"/>
  <c r="K40" i="3" s="1"/>
  <c r="I41" i="3"/>
  <c r="J41" i="3" s="1"/>
  <c r="K41" i="3" s="1"/>
  <c r="I42" i="3"/>
  <c r="J42" i="3" s="1"/>
  <c r="K42" i="3" s="1"/>
  <c r="I43" i="3"/>
  <c r="J43" i="3" s="1"/>
  <c r="K43" i="3" s="1"/>
  <c r="I44" i="3"/>
  <c r="J44" i="3" s="1"/>
  <c r="K44" i="3" s="1"/>
  <c r="I45" i="3"/>
  <c r="J45" i="3" s="1"/>
  <c r="K45" i="3" s="1"/>
  <c r="I46" i="3"/>
  <c r="J46" i="3" s="1"/>
  <c r="K46" i="3" s="1"/>
  <c r="I47" i="3"/>
  <c r="J47" i="3" s="1"/>
  <c r="K47" i="3" s="1"/>
  <c r="I48" i="3"/>
  <c r="J48" i="3" s="1"/>
  <c r="K48" i="3" s="1"/>
  <c r="I49" i="3"/>
  <c r="J49" i="3" s="1"/>
  <c r="K49" i="3" s="1"/>
  <c r="I50" i="3"/>
  <c r="J50" i="3" s="1"/>
  <c r="K50" i="3" s="1"/>
  <c r="I51" i="3"/>
  <c r="J51" i="3" s="1"/>
  <c r="K51" i="3" s="1"/>
  <c r="I2" i="3"/>
  <c r="J2" i="3" s="1"/>
  <c r="K2" i="3" s="1"/>
  <c r="I51" i="2"/>
  <c r="J51" i="2" s="1"/>
  <c r="K51" i="2" s="1"/>
  <c r="I50" i="2"/>
  <c r="J50" i="2" s="1"/>
  <c r="K50" i="2" s="1"/>
  <c r="I49" i="2"/>
  <c r="J49" i="2" s="1"/>
  <c r="K49" i="2" s="1"/>
  <c r="I48" i="2"/>
  <c r="J48" i="2" s="1"/>
  <c r="K48" i="2" s="1"/>
  <c r="I47" i="2"/>
  <c r="J47" i="2" s="1"/>
  <c r="K47" i="2" s="1"/>
  <c r="I46" i="2"/>
  <c r="J46" i="2" s="1"/>
  <c r="K46" i="2" s="1"/>
  <c r="J45" i="2"/>
  <c r="K45" i="2" s="1"/>
  <c r="I45" i="2"/>
  <c r="J44" i="2"/>
  <c r="K44" i="2" s="1"/>
  <c r="I44" i="2"/>
  <c r="I43" i="2"/>
  <c r="J43" i="2" s="1"/>
  <c r="K43" i="2" s="1"/>
  <c r="I42" i="2"/>
  <c r="J42" i="2" s="1"/>
  <c r="K42" i="2" s="1"/>
  <c r="I41" i="2"/>
  <c r="J41" i="2" s="1"/>
  <c r="K41" i="2" s="1"/>
  <c r="I40" i="2"/>
  <c r="J40" i="2" s="1"/>
  <c r="K40" i="2" s="1"/>
  <c r="I39" i="2"/>
  <c r="J39" i="2" s="1"/>
  <c r="K39" i="2" s="1"/>
  <c r="I38" i="2"/>
  <c r="J38" i="2" s="1"/>
  <c r="K38" i="2" s="1"/>
  <c r="I37" i="2"/>
  <c r="J37" i="2" s="1"/>
  <c r="K37" i="2" s="1"/>
  <c r="I36" i="2"/>
  <c r="J36" i="2" s="1"/>
  <c r="K36" i="2" s="1"/>
  <c r="I35" i="2"/>
  <c r="J35" i="2" s="1"/>
  <c r="K35" i="2" s="1"/>
  <c r="I34" i="2"/>
  <c r="J34" i="2" s="1"/>
  <c r="K34" i="2" s="1"/>
  <c r="I33" i="2"/>
  <c r="J33" i="2" s="1"/>
  <c r="K33" i="2" s="1"/>
  <c r="J32" i="2"/>
  <c r="K32" i="2" s="1"/>
  <c r="I32" i="2"/>
  <c r="I31" i="2"/>
  <c r="J31" i="2" s="1"/>
  <c r="K31" i="2" s="1"/>
  <c r="I30" i="2"/>
  <c r="J30" i="2" s="1"/>
  <c r="K30" i="2" s="1"/>
  <c r="I29" i="2"/>
  <c r="J29" i="2" s="1"/>
  <c r="K29" i="2" s="1"/>
  <c r="I28" i="2"/>
  <c r="J28" i="2" s="1"/>
  <c r="K28" i="2" s="1"/>
  <c r="I27" i="2"/>
  <c r="J27" i="2" s="1"/>
  <c r="K27" i="2" s="1"/>
  <c r="I26" i="2"/>
  <c r="J26" i="2" s="1"/>
  <c r="K26" i="2" s="1"/>
  <c r="I25" i="2"/>
  <c r="J25" i="2" s="1"/>
  <c r="K25" i="2" s="1"/>
  <c r="J24" i="2"/>
  <c r="K24" i="2" s="1"/>
  <c r="I24" i="2"/>
  <c r="I23" i="2"/>
  <c r="J23" i="2" s="1"/>
  <c r="K23" i="2" s="1"/>
  <c r="I22" i="2"/>
  <c r="J22" i="2" s="1"/>
  <c r="K22" i="2" s="1"/>
  <c r="I21" i="2"/>
  <c r="J21" i="2" s="1"/>
  <c r="K21" i="2" s="1"/>
  <c r="I20" i="2"/>
  <c r="J20" i="2" s="1"/>
  <c r="K20" i="2" s="1"/>
  <c r="I19" i="2"/>
  <c r="J19" i="2" s="1"/>
  <c r="K19" i="2" s="1"/>
  <c r="I18" i="2"/>
  <c r="J18" i="2" s="1"/>
  <c r="K18" i="2" s="1"/>
  <c r="I17" i="2"/>
  <c r="J17" i="2" s="1"/>
  <c r="K17" i="2" s="1"/>
  <c r="J16" i="2"/>
  <c r="K16" i="2" s="1"/>
  <c r="I16" i="2"/>
  <c r="I15" i="2"/>
  <c r="J15" i="2" s="1"/>
  <c r="K15" i="2" s="1"/>
  <c r="I14" i="2"/>
  <c r="J14" i="2" s="1"/>
  <c r="K14" i="2" s="1"/>
  <c r="I13" i="2"/>
  <c r="J13" i="2" s="1"/>
  <c r="K13" i="2" s="1"/>
  <c r="I12" i="2"/>
  <c r="J12" i="2" s="1"/>
  <c r="K12" i="2" s="1"/>
  <c r="I11" i="2"/>
  <c r="J11" i="2" s="1"/>
  <c r="K11" i="2" s="1"/>
  <c r="J10" i="2"/>
  <c r="K10" i="2" s="1"/>
  <c r="I10" i="2"/>
  <c r="J9" i="2"/>
  <c r="K9" i="2" s="1"/>
  <c r="I9" i="2"/>
  <c r="I8" i="2"/>
  <c r="J8" i="2" s="1"/>
  <c r="K8" i="2" s="1"/>
  <c r="I7" i="2"/>
  <c r="J7" i="2" s="1"/>
  <c r="K7" i="2" s="1"/>
  <c r="K6" i="2"/>
  <c r="J6" i="2"/>
  <c r="I6" i="2"/>
  <c r="I5" i="2"/>
  <c r="J5" i="2" s="1"/>
  <c r="K5" i="2" s="1"/>
  <c r="I4" i="2"/>
  <c r="J4" i="2" s="1"/>
  <c r="K4" i="2" s="1"/>
  <c r="I3" i="2"/>
  <c r="J3" i="2" s="1"/>
  <c r="K3" i="2" s="1"/>
  <c r="I2" i="2"/>
  <c r="J2" i="2" s="1"/>
  <c r="K2" i="2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43" i="1"/>
  <c r="J43" i="1" s="1"/>
  <c r="K43" i="1" s="1"/>
  <c r="I44" i="1"/>
  <c r="J44" i="1" s="1"/>
  <c r="K44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K51" i="1" s="1"/>
  <c r="I2" i="1"/>
  <c r="J2" i="1" s="1"/>
  <c r="K2" i="1" s="1"/>
  <c r="M53" i="13" l="1"/>
  <c r="M15" i="6"/>
  <c r="K54" i="7"/>
  <c r="K54" i="5"/>
  <c r="K54" i="4"/>
  <c r="K54" i="3"/>
  <c r="K54" i="2"/>
</calcChain>
</file>

<file path=xl/sharedStrings.xml><?xml version="1.0" encoding="utf-8"?>
<sst xmlns="http://schemas.openxmlformats.org/spreadsheetml/2006/main" count="1718" uniqueCount="105">
  <si>
    <t>richesse</t>
  </si>
  <si>
    <t>yw(%)</t>
  </si>
  <si>
    <t>spe file name</t>
  </si>
  <si>
    <t>start</t>
  </si>
  <si>
    <t>end</t>
  </si>
  <si>
    <t>10_37_34</t>
  </si>
  <si>
    <t>11 04 59</t>
  </si>
  <si>
    <t>11 07 05</t>
  </si>
  <si>
    <t>11_06_44</t>
  </si>
  <si>
    <t>11 11 02</t>
  </si>
  <si>
    <t>11 13 08</t>
  </si>
  <si>
    <t>11_12_14</t>
  </si>
  <si>
    <t>11 16 38</t>
  </si>
  <si>
    <t>11 18 44</t>
  </si>
  <si>
    <t>11_17_49</t>
  </si>
  <si>
    <t>11 22 12</t>
  </si>
  <si>
    <t>11 24 18</t>
  </si>
  <si>
    <t>11_23_27</t>
  </si>
  <si>
    <t>11 28 07</t>
  </si>
  <si>
    <t>11 30 13</t>
  </si>
  <si>
    <t>11_29_20</t>
  </si>
  <si>
    <t>11 33 52</t>
  </si>
  <si>
    <t>11 35 58</t>
  </si>
  <si>
    <t>11_35_07</t>
  </si>
  <si>
    <t>11 39 30</t>
  </si>
  <si>
    <t>11 41 37</t>
  </si>
  <si>
    <t>12_51_00</t>
  </si>
  <si>
    <t>13 12 21</t>
  </si>
  <si>
    <t>13 14 27</t>
  </si>
  <si>
    <t>13_14_00</t>
  </si>
  <si>
    <t>13 18 20</t>
  </si>
  <si>
    <t>13 20 26</t>
  </si>
  <si>
    <t>13_19_28</t>
  </si>
  <si>
    <t>13 23 52</t>
  </si>
  <si>
    <t>13 25 58</t>
  </si>
  <si>
    <t>13_25_07</t>
  </si>
  <si>
    <t>13 29 31</t>
  </si>
  <si>
    <t>13 31 37</t>
  </si>
  <si>
    <t>13_30_38</t>
  </si>
  <si>
    <t>13 35 01</t>
  </si>
  <si>
    <t>13 37 07</t>
  </si>
  <si>
    <t>13_36_16</t>
  </si>
  <si>
    <t>13 40 36</t>
  </si>
  <si>
    <t>13 42 40</t>
  </si>
  <si>
    <t>13_41_44</t>
  </si>
  <si>
    <t>13 46 09</t>
  </si>
  <si>
    <t>13 48 15</t>
  </si>
  <si>
    <t>13_47_07</t>
  </si>
  <si>
    <t>14 24 01</t>
  </si>
  <si>
    <t>14 26 07</t>
  </si>
  <si>
    <t>14_25_32</t>
  </si>
  <si>
    <t>14 29 53</t>
  </si>
  <si>
    <t>14 31 59</t>
  </si>
  <si>
    <t>14_31_04</t>
  </si>
  <si>
    <t>14 35 28</t>
  </si>
  <si>
    <t>14 37 34</t>
  </si>
  <si>
    <t>14_36_39</t>
  </si>
  <si>
    <t>14 41 00</t>
  </si>
  <si>
    <t>14 43 06</t>
  </si>
  <si>
    <t>14_42_19</t>
  </si>
  <si>
    <t>14 46 40</t>
  </si>
  <si>
    <t>14 48 46</t>
  </si>
  <si>
    <t>14_47_52</t>
  </si>
  <si>
    <t>14 52 16</t>
  </si>
  <si>
    <t>14 54 30</t>
  </si>
  <si>
    <t>14_53_35</t>
  </si>
  <si>
    <t>14 58 28</t>
  </si>
  <si>
    <t>15 00 34</t>
  </si>
  <si>
    <t>14_59_31</t>
  </si>
  <si>
    <t>15 30 05</t>
  </si>
  <si>
    <t>15 32 10</t>
  </si>
  <si>
    <t>15_31_37</t>
  </si>
  <si>
    <t>15 35 36</t>
  </si>
  <si>
    <t>15 38 02</t>
  </si>
  <si>
    <t>15_37_10</t>
  </si>
  <si>
    <t>15 41 28</t>
  </si>
  <si>
    <t>15 43 34</t>
  </si>
  <si>
    <t>15_42_48</t>
  </si>
  <si>
    <t>15 47 12</t>
  </si>
  <si>
    <t>15 49 18</t>
  </si>
  <si>
    <t>15_48_22</t>
  </si>
  <si>
    <t>15 52 45</t>
  </si>
  <si>
    <t>15 54 51</t>
  </si>
  <si>
    <t>15_53_53</t>
  </si>
  <si>
    <t>15 58 16</t>
  </si>
  <si>
    <t>16 00 23</t>
  </si>
  <si>
    <t>15_59_25</t>
  </si>
  <si>
    <t>16 03 43</t>
  </si>
  <si>
    <t>16 05 49</t>
  </si>
  <si>
    <t>image_name</t>
  </si>
  <si>
    <t>pred_label</t>
  </si>
  <si>
    <t>Richesse</t>
  </si>
  <si>
    <t>Grand Total</t>
  </si>
  <si>
    <t>TRUE</t>
  </si>
  <si>
    <t>PRED</t>
  </si>
  <si>
    <t xml:space="preserve"> Richesse</t>
  </si>
  <si>
    <t>Richesses</t>
  </si>
  <si>
    <t>Count of Richesse</t>
  </si>
  <si>
    <t>true</t>
  </si>
  <si>
    <t>predicted_richesse</t>
  </si>
  <si>
    <t>confiance</t>
  </si>
  <si>
    <t xml:space="preserve">Cross entropy </t>
  </si>
  <si>
    <t>Row Labels</t>
  </si>
  <si>
    <t>Column Labels</t>
  </si>
  <si>
    <t xml:space="preserve">Cet Excel présente tout le tâtonnement réalisé pour parvenir aux résultats présentés dans le rapport depuis le Jalon 1 jusqu'au Jalon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</si>
</sst>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0" fontId="7" fillId="6" borderId="0" xfId="0" applyNumberFormat="1" applyFont="1" applyFill="1"/>
    <xf numFmtId="10" fontId="7" fillId="6" borderId="0" xfId="1" applyNumberFormat="1"/>
    <xf numFmtId="10" fontId="9" fillId="8" borderId="0" xfId="0" applyNumberFormat="1" applyFont="1" applyFill="1"/>
    <xf numFmtId="10" fontId="8" fillId="7" borderId="0" xfId="0" applyNumberFormat="1" applyFont="1" applyFill="1"/>
    <xf numFmtId="0" fontId="10" fillId="0" borderId="0" xfId="0" applyFont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9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theme="6" tint="0.59999389629810485"/>
        </patternFill>
      </fill>
    </dxf>
    <dxf>
      <fill>
        <patternFill>
          <fgColor theme="6" tint="0.59999389629810485"/>
        </patternFill>
      </fill>
    </dxf>
    <dxf>
      <fill>
        <patternFill>
          <f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rgb="FFFFFF00"/>
        </patternFill>
      </fill>
    </dxf>
    <dxf>
      <fill>
        <patternFill>
          <fgColor rgb="FFFFFF00"/>
        </patternFill>
      </fill>
    </dxf>
    <dxf>
      <fill>
        <patternFill>
          <fgColor rgb="FFFFFF00"/>
        </patternFill>
      </fill>
    </dxf>
    <dxf>
      <fill>
        <patternFill>
          <fgColor rgb="FFFFFF00"/>
        </patternFill>
      </fill>
    </dxf>
    <dxf>
      <fill>
        <patternFill>
          <fgColor theme="6" tint="0.39997558519241921"/>
        </patternFill>
      </fill>
    </dxf>
    <dxf>
      <fill>
        <patternFill>
          <bgColor rgb="FFFFFF00"/>
        </patternFill>
      </fill>
    </dxf>
    <dxf>
      <fill>
        <patternFill>
          <fgColor theme="6" tint="0.39997558519241921"/>
        </patternFill>
      </fill>
    </dxf>
    <dxf>
      <fill>
        <patternFill>
          <f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2.471560185186" createdVersion="8" refreshedVersion="8" minRefreshableVersion="3" recordCount="50" xr:uid="{F0127757-B826-EA4B-87C0-100741C22045}">
  <cacheSource type="worksheet">
    <worksheetSource ref="H1:I51" sheet="Tout vapeur d'eau"/>
  </cacheSource>
  <cacheFields count="2">
    <cacheField name="pred_label" numFmtId="0">
      <sharedItems containsSemiMixedTypes="0" containsString="0" containsNumber="1" minValue="0.65" maxValue="0.95" count="4">
        <n v="0.85"/>
        <n v="0.95"/>
        <n v="0.75"/>
        <n v="0.65"/>
      </sharedItems>
    </cacheField>
    <cacheField name="Richesse" numFmtId="0">
      <sharedItems containsSemiMixedTypes="0" containsString="0" containsNumber="1" minValue="0.65" maxValue="0.95" count="4">
        <n v="0.95"/>
        <n v="0.75"/>
        <n v="0.65"/>
        <n v="0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2.491623379632" createdVersion="8" refreshedVersion="8" minRefreshableVersion="3" recordCount="50" xr:uid="{277DE428-ADBC-C24A-AA61-239D028F23F3}">
  <cacheSource type="worksheet">
    <worksheetSource ref="H1:I51" sheet="Vapeur 10 20"/>
  </cacheSource>
  <cacheFields count="2">
    <cacheField name="pred_label" numFmtId="0">
      <sharedItems containsSemiMixedTypes="0" containsString="0" containsNumber="1" minValue="0.65" maxValue="0.95" count="4">
        <n v="0.95"/>
        <n v="0.65"/>
        <n v="0.75"/>
        <n v="0.85"/>
      </sharedItems>
    </cacheField>
    <cacheField name="Richesse" numFmtId="0">
      <sharedItems containsSemiMixedTypes="0" containsString="0" containsNumber="1" minValue="0.65" maxValue="0.95" count="4">
        <n v="0.95"/>
        <n v="0.65"/>
        <n v="0.75"/>
        <n v="0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8.633426967594" createdVersion="8" refreshedVersion="8" minRefreshableVersion="3" recordCount="54" xr:uid="{C6667E8A-52B2-4742-AA08-F4EFCBDBE3BC}">
  <cacheSource type="worksheet">
    <worksheetSource ref="H1:I1048576" sheet="10 20 KERNEL"/>
  </cacheSource>
  <cacheFields count="2">
    <cacheField name="pred_label" numFmtId="0">
      <sharedItems containsString="0" containsBlank="1" containsNumber="1" minValue="0.65" maxValue="0.95" count="5">
        <n v="0.95"/>
        <n v="0.65"/>
        <n v="0.85"/>
        <n v="0.75"/>
        <m/>
      </sharedItems>
    </cacheField>
    <cacheField name="Richesse" numFmtId="0">
      <sharedItems containsString="0" containsBlank="1" containsNumber="1" minValue="0.65" maxValue="0.95" count="5">
        <n v="0.95"/>
        <n v="0.65"/>
        <n v="0.75"/>
        <n v="0.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8.645555671297" createdVersion="8" refreshedVersion="8" minRefreshableVersion="3" recordCount="54" xr:uid="{5A2B7872-9D4C-4A49-A6B4-09CA04B73B52}">
  <cacheSource type="worksheet">
    <worksheetSource ref="H1:I1048576" sheet="10 20 Max pooling"/>
  </cacheSource>
  <cacheFields count="2">
    <cacheField name="pred_label" numFmtId="0">
      <sharedItems containsString="0" containsBlank="1" containsNumber="1" minValue="0.65" maxValue="0.95" count="5">
        <n v="0.95"/>
        <n v="0.65"/>
        <n v="0.75"/>
        <n v="0.85"/>
        <m/>
      </sharedItems>
    </cacheField>
    <cacheField name="Richesse" numFmtId="0">
      <sharedItems containsString="0" containsBlank="1" containsNumber="1" minValue="0.65" maxValue="0.95" count="5">
        <n v="0.95"/>
        <n v="0.65"/>
        <n v="0.75"/>
        <n v="0.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8.669694097225" createdVersion="8" refreshedVersion="8" minRefreshableVersion="3" recordCount="54" xr:uid="{1A2E109B-CCEB-3640-BEB7-22E372DEE4AE}">
  <cacheSource type="worksheet">
    <worksheetSource ref="H1:I1048576" sheet="10 20 RF"/>
  </cacheSource>
  <cacheFields count="2">
    <cacheField name="pred_label" numFmtId="0">
      <sharedItems containsString="0" containsBlank="1" containsNumber="1" minValue="0.65" maxValue="0.95" count="5">
        <n v="0.95"/>
        <n v="0.65"/>
        <n v="0.75"/>
        <n v="0.85"/>
        <m/>
      </sharedItems>
    </cacheField>
    <cacheField name="Richesse" numFmtId="0">
      <sharedItems containsString="0" containsBlank="1" containsNumber="1" minValue="0.65" maxValue="0.95" count="5">
        <n v="0.95"/>
        <n v="0.65"/>
        <n v="0.75"/>
        <n v="0.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4.631885995368" createdVersion="8" refreshedVersion="8" minRefreshableVersion="3" recordCount="54" xr:uid="{56FCFA5B-0011-BE41-A8F7-38CD78F9B003}">
  <cacheSource type="worksheet">
    <worksheetSource ref="A1:B1048576" sheet="10 20 RF (2)"/>
  </cacheSource>
  <cacheFields count="2">
    <cacheField name="pred_label" numFmtId="0">
      <sharedItems containsString="0" containsBlank="1" containsNumber="1" minValue="0.65" maxValue="0.95" count="5">
        <n v="0.95"/>
        <n v="0.65"/>
        <n v="0.75"/>
        <n v="0.85"/>
        <m/>
      </sharedItems>
    </cacheField>
    <cacheField name="Richesse" numFmtId="0">
      <sharedItems containsString="0" containsBlank="1" containsNumber="1" minValue="0.65" maxValue="0.95" count="5">
        <n v="0.95"/>
        <n v="0.65"/>
        <n v="0.75"/>
        <n v="0.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4.637884722222" createdVersion="8" refreshedVersion="8" minRefreshableVersion="3" recordCount="101" xr:uid="{AA152980-DA13-2F4E-A9D7-61DFC7E528F3}">
  <cacheSource type="worksheet">
    <worksheetSource ref="D1:E1048576" sheet="10 20 RF (2)"/>
  </cacheSource>
  <cacheFields count="2">
    <cacheField name="pred_label" numFmtId="0">
      <sharedItems containsString="0" containsBlank="1" containsNumber="1" minValue="0.65" maxValue="0.95" count="5">
        <n v="0.95"/>
        <n v="0.75"/>
        <n v="0.85"/>
        <n v="0.65"/>
        <m/>
      </sharedItems>
    </cacheField>
    <cacheField name="Richesse" numFmtId="0">
      <sharedItems containsString="0" containsBlank="1" containsNumber="1" minValue="0.65" maxValue="0.95" count="5">
        <n v="0.95"/>
        <n v="0.75"/>
        <n v="0.85"/>
        <n v="0.6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4.67877071759" createdVersion="8" refreshedVersion="8" minRefreshableVersion="3" recordCount="100" xr:uid="{98B9A539-CD68-384B-9E65-883629BD1E6A}">
  <cacheSource type="worksheet">
    <worksheetSource ref="H1:I101" sheet="10 20 RF (2)"/>
  </cacheSource>
  <cacheFields count="2">
    <cacheField name="pred_label" numFmtId="0">
      <sharedItems containsSemiMixedTypes="0" containsString="0" containsNumber="1" minValue="0.65" maxValue="0.95" count="4">
        <n v="0.75"/>
        <n v="0.95"/>
        <n v="0.85"/>
        <n v="0.65"/>
      </sharedItems>
    </cacheField>
    <cacheField name="Richesse" numFmtId="0">
      <sharedItems containsSemiMixedTypes="0" containsString="0" containsNumber="1" minValue="0.65" maxValue="0.95" count="4">
        <n v="0.75"/>
        <n v="0.95"/>
        <n v="0.85"/>
        <n v="0.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</r>
  <r>
    <x v="1"/>
    <x v="1"/>
  </r>
  <r>
    <x v="2"/>
    <x v="2"/>
  </r>
  <r>
    <x v="0"/>
    <x v="0"/>
  </r>
  <r>
    <x v="0"/>
    <x v="3"/>
  </r>
  <r>
    <x v="1"/>
    <x v="2"/>
  </r>
  <r>
    <x v="0"/>
    <x v="0"/>
  </r>
  <r>
    <x v="0"/>
    <x v="3"/>
  </r>
  <r>
    <x v="1"/>
    <x v="0"/>
  </r>
  <r>
    <x v="0"/>
    <x v="0"/>
  </r>
  <r>
    <x v="0"/>
    <x v="2"/>
  </r>
  <r>
    <x v="2"/>
    <x v="1"/>
  </r>
  <r>
    <x v="1"/>
    <x v="0"/>
  </r>
  <r>
    <x v="1"/>
    <x v="3"/>
  </r>
  <r>
    <x v="0"/>
    <x v="2"/>
  </r>
  <r>
    <x v="0"/>
    <x v="2"/>
  </r>
  <r>
    <x v="0"/>
    <x v="3"/>
  </r>
  <r>
    <x v="3"/>
    <x v="2"/>
  </r>
  <r>
    <x v="1"/>
    <x v="3"/>
  </r>
  <r>
    <x v="3"/>
    <x v="2"/>
  </r>
  <r>
    <x v="2"/>
    <x v="3"/>
  </r>
  <r>
    <x v="0"/>
    <x v="1"/>
  </r>
  <r>
    <x v="0"/>
    <x v="3"/>
  </r>
  <r>
    <x v="0"/>
    <x v="0"/>
  </r>
  <r>
    <x v="2"/>
    <x v="1"/>
  </r>
  <r>
    <x v="0"/>
    <x v="1"/>
  </r>
  <r>
    <x v="0"/>
    <x v="0"/>
  </r>
  <r>
    <x v="0"/>
    <x v="2"/>
  </r>
  <r>
    <x v="0"/>
    <x v="1"/>
  </r>
  <r>
    <x v="1"/>
    <x v="0"/>
  </r>
  <r>
    <x v="0"/>
    <x v="1"/>
  </r>
  <r>
    <x v="0"/>
    <x v="0"/>
  </r>
  <r>
    <x v="2"/>
    <x v="1"/>
  </r>
  <r>
    <x v="0"/>
    <x v="2"/>
  </r>
  <r>
    <x v="2"/>
    <x v="2"/>
  </r>
  <r>
    <x v="0"/>
    <x v="3"/>
  </r>
  <r>
    <x v="2"/>
    <x v="3"/>
  </r>
  <r>
    <x v="0"/>
    <x v="3"/>
  </r>
  <r>
    <x v="0"/>
    <x v="2"/>
  </r>
  <r>
    <x v="0"/>
    <x v="0"/>
  </r>
  <r>
    <x v="2"/>
    <x v="2"/>
  </r>
  <r>
    <x v="2"/>
    <x v="1"/>
  </r>
  <r>
    <x v="0"/>
    <x v="0"/>
  </r>
  <r>
    <x v="1"/>
    <x v="1"/>
  </r>
  <r>
    <x v="0"/>
    <x v="0"/>
  </r>
  <r>
    <x v="0"/>
    <x v="1"/>
  </r>
  <r>
    <x v="0"/>
    <x v="3"/>
  </r>
  <r>
    <x v="0"/>
    <x v="0"/>
  </r>
  <r>
    <x v="1"/>
    <x v="2"/>
  </r>
  <r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</r>
  <r>
    <x v="1"/>
    <x v="1"/>
  </r>
  <r>
    <x v="2"/>
    <x v="2"/>
  </r>
  <r>
    <x v="3"/>
    <x v="3"/>
  </r>
  <r>
    <x v="0"/>
    <x v="0"/>
  </r>
  <r>
    <x v="3"/>
    <x v="2"/>
  </r>
  <r>
    <x v="3"/>
    <x v="3"/>
  </r>
  <r>
    <x v="0"/>
    <x v="0"/>
  </r>
  <r>
    <x v="0"/>
    <x v="0"/>
  </r>
  <r>
    <x v="2"/>
    <x v="2"/>
  </r>
  <r>
    <x v="1"/>
    <x v="1"/>
  </r>
  <r>
    <x v="0"/>
    <x v="0"/>
  </r>
  <r>
    <x v="3"/>
    <x v="3"/>
  </r>
  <r>
    <x v="0"/>
    <x v="0"/>
  </r>
  <r>
    <x v="3"/>
    <x v="3"/>
  </r>
  <r>
    <x v="2"/>
    <x v="2"/>
  </r>
  <r>
    <x v="1"/>
    <x v="1"/>
  </r>
  <r>
    <x v="0"/>
    <x v="0"/>
  </r>
  <r>
    <x v="2"/>
    <x v="2"/>
  </r>
  <r>
    <x v="2"/>
    <x v="2"/>
  </r>
  <r>
    <x v="1"/>
    <x v="1"/>
  </r>
  <r>
    <x v="3"/>
    <x v="3"/>
  </r>
  <r>
    <x v="2"/>
    <x v="2"/>
  </r>
  <r>
    <x v="1"/>
    <x v="1"/>
  </r>
  <r>
    <x v="2"/>
    <x v="2"/>
  </r>
  <r>
    <x v="3"/>
    <x v="3"/>
  </r>
  <r>
    <x v="3"/>
    <x v="2"/>
  </r>
  <r>
    <x v="0"/>
    <x v="3"/>
  </r>
  <r>
    <x v="1"/>
    <x v="1"/>
  </r>
  <r>
    <x v="1"/>
    <x v="1"/>
  </r>
  <r>
    <x v="0"/>
    <x v="3"/>
  </r>
  <r>
    <x v="1"/>
    <x v="1"/>
  </r>
  <r>
    <x v="1"/>
    <x v="1"/>
  </r>
  <r>
    <x v="0"/>
    <x v="3"/>
  </r>
  <r>
    <x v="3"/>
    <x v="3"/>
  </r>
  <r>
    <x v="0"/>
    <x v="0"/>
  </r>
  <r>
    <x v="1"/>
    <x v="1"/>
  </r>
  <r>
    <x v="3"/>
    <x v="3"/>
  </r>
  <r>
    <x v="0"/>
    <x v="0"/>
  </r>
  <r>
    <x v="0"/>
    <x v="0"/>
  </r>
  <r>
    <x v="1"/>
    <x v="3"/>
  </r>
  <r>
    <x v="3"/>
    <x v="3"/>
  </r>
  <r>
    <x v="1"/>
    <x v="1"/>
  </r>
  <r>
    <x v="2"/>
    <x v="3"/>
  </r>
  <r>
    <x v="0"/>
    <x v="0"/>
  </r>
  <r>
    <x v="0"/>
    <x v="0"/>
  </r>
  <r>
    <x v="0"/>
    <x v="0"/>
  </r>
  <r>
    <x v="1"/>
    <x v="1"/>
  </r>
  <r>
    <x v="0"/>
    <x v="0"/>
  </r>
  <r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</r>
  <r>
    <x v="1"/>
    <x v="1"/>
  </r>
  <r>
    <x v="1"/>
    <x v="2"/>
  </r>
  <r>
    <x v="0"/>
    <x v="3"/>
  </r>
  <r>
    <x v="0"/>
    <x v="0"/>
  </r>
  <r>
    <x v="2"/>
    <x v="2"/>
  </r>
  <r>
    <x v="3"/>
    <x v="3"/>
  </r>
  <r>
    <x v="0"/>
    <x v="0"/>
  </r>
  <r>
    <x v="0"/>
    <x v="0"/>
  </r>
  <r>
    <x v="3"/>
    <x v="2"/>
  </r>
  <r>
    <x v="1"/>
    <x v="1"/>
  </r>
  <r>
    <x v="0"/>
    <x v="0"/>
  </r>
  <r>
    <x v="0"/>
    <x v="3"/>
  </r>
  <r>
    <x v="0"/>
    <x v="0"/>
  </r>
  <r>
    <x v="0"/>
    <x v="3"/>
  </r>
  <r>
    <x v="2"/>
    <x v="2"/>
  </r>
  <r>
    <x v="1"/>
    <x v="1"/>
  </r>
  <r>
    <x v="0"/>
    <x v="0"/>
  </r>
  <r>
    <x v="2"/>
    <x v="2"/>
  </r>
  <r>
    <x v="3"/>
    <x v="2"/>
  </r>
  <r>
    <x v="1"/>
    <x v="1"/>
  </r>
  <r>
    <x v="2"/>
    <x v="3"/>
  </r>
  <r>
    <x v="3"/>
    <x v="2"/>
  </r>
  <r>
    <x v="1"/>
    <x v="1"/>
  </r>
  <r>
    <x v="3"/>
    <x v="2"/>
  </r>
  <r>
    <x v="0"/>
    <x v="3"/>
  </r>
  <r>
    <x v="1"/>
    <x v="2"/>
  </r>
  <r>
    <x v="2"/>
    <x v="3"/>
  </r>
  <r>
    <x v="1"/>
    <x v="1"/>
  </r>
  <r>
    <x v="1"/>
    <x v="1"/>
  </r>
  <r>
    <x v="0"/>
    <x v="3"/>
  </r>
  <r>
    <x v="1"/>
    <x v="1"/>
  </r>
  <r>
    <x v="1"/>
    <x v="1"/>
  </r>
  <r>
    <x v="0"/>
    <x v="3"/>
  </r>
  <r>
    <x v="2"/>
    <x v="3"/>
  </r>
  <r>
    <x v="0"/>
    <x v="0"/>
  </r>
  <r>
    <x v="1"/>
    <x v="1"/>
  </r>
  <r>
    <x v="2"/>
    <x v="3"/>
  </r>
  <r>
    <x v="0"/>
    <x v="0"/>
  </r>
  <r>
    <x v="0"/>
    <x v="0"/>
  </r>
  <r>
    <x v="1"/>
    <x v="3"/>
  </r>
  <r>
    <x v="2"/>
    <x v="3"/>
  </r>
  <r>
    <x v="1"/>
    <x v="1"/>
  </r>
  <r>
    <x v="3"/>
    <x v="3"/>
  </r>
  <r>
    <x v="0"/>
    <x v="0"/>
  </r>
  <r>
    <x v="0"/>
    <x v="0"/>
  </r>
  <r>
    <x v="0"/>
    <x v="0"/>
  </r>
  <r>
    <x v="1"/>
    <x v="1"/>
  </r>
  <r>
    <x v="0"/>
    <x v="0"/>
  </r>
  <r>
    <x v="3"/>
    <x v="3"/>
  </r>
  <r>
    <x v="4"/>
    <x v="4"/>
  </r>
  <r>
    <x v="4"/>
    <x v="4"/>
  </r>
  <r>
    <x v="4"/>
    <x v="4"/>
  </r>
  <r>
    <x v="4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</r>
  <r>
    <x v="1"/>
    <x v="1"/>
  </r>
  <r>
    <x v="2"/>
    <x v="2"/>
  </r>
  <r>
    <x v="3"/>
    <x v="3"/>
  </r>
  <r>
    <x v="0"/>
    <x v="0"/>
  </r>
  <r>
    <x v="3"/>
    <x v="2"/>
  </r>
  <r>
    <x v="3"/>
    <x v="3"/>
  </r>
  <r>
    <x v="0"/>
    <x v="0"/>
  </r>
  <r>
    <x v="0"/>
    <x v="0"/>
  </r>
  <r>
    <x v="2"/>
    <x v="2"/>
  </r>
  <r>
    <x v="1"/>
    <x v="1"/>
  </r>
  <r>
    <x v="0"/>
    <x v="0"/>
  </r>
  <r>
    <x v="0"/>
    <x v="3"/>
  </r>
  <r>
    <x v="0"/>
    <x v="0"/>
  </r>
  <r>
    <x v="3"/>
    <x v="3"/>
  </r>
  <r>
    <x v="2"/>
    <x v="2"/>
  </r>
  <r>
    <x v="1"/>
    <x v="1"/>
  </r>
  <r>
    <x v="0"/>
    <x v="0"/>
  </r>
  <r>
    <x v="2"/>
    <x v="2"/>
  </r>
  <r>
    <x v="2"/>
    <x v="2"/>
  </r>
  <r>
    <x v="1"/>
    <x v="1"/>
  </r>
  <r>
    <x v="3"/>
    <x v="3"/>
  </r>
  <r>
    <x v="2"/>
    <x v="2"/>
  </r>
  <r>
    <x v="1"/>
    <x v="1"/>
  </r>
  <r>
    <x v="2"/>
    <x v="2"/>
  </r>
  <r>
    <x v="3"/>
    <x v="3"/>
  </r>
  <r>
    <x v="1"/>
    <x v="2"/>
  </r>
  <r>
    <x v="3"/>
    <x v="3"/>
  </r>
  <r>
    <x v="1"/>
    <x v="1"/>
  </r>
  <r>
    <x v="1"/>
    <x v="1"/>
  </r>
  <r>
    <x v="0"/>
    <x v="3"/>
  </r>
  <r>
    <x v="1"/>
    <x v="1"/>
  </r>
  <r>
    <x v="1"/>
    <x v="1"/>
  </r>
  <r>
    <x v="0"/>
    <x v="3"/>
  </r>
  <r>
    <x v="3"/>
    <x v="3"/>
  </r>
  <r>
    <x v="0"/>
    <x v="0"/>
  </r>
  <r>
    <x v="1"/>
    <x v="1"/>
  </r>
  <r>
    <x v="3"/>
    <x v="3"/>
  </r>
  <r>
    <x v="0"/>
    <x v="0"/>
  </r>
  <r>
    <x v="0"/>
    <x v="0"/>
  </r>
  <r>
    <x v="1"/>
    <x v="3"/>
  </r>
  <r>
    <x v="3"/>
    <x v="3"/>
  </r>
  <r>
    <x v="1"/>
    <x v="1"/>
  </r>
  <r>
    <x v="2"/>
    <x v="3"/>
  </r>
  <r>
    <x v="0"/>
    <x v="0"/>
  </r>
  <r>
    <x v="0"/>
    <x v="0"/>
  </r>
  <r>
    <x v="0"/>
    <x v="0"/>
  </r>
  <r>
    <x v="1"/>
    <x v="1"/>
  </r>
  <r>
    <x v="0"/>
    <x v="0"/>
  </r>
  <r>
    <x v="3"/>
    <x v="3"/>
  </r>
  <r>
    <x v="4"/>
    <x v="4"/>
  </r>
  <r>
    <x v="4"/>
    <x v="4"/>
  </r>
  <r>
    <x v="4"/>
    <x v="4"/>
  </r>
  <r>
    <x v="4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</r>
  <r>
    <x v="1"/>
    <x v="1"/>
  </r>
  <r>
    <x v="2"/>
    <x v="2"/>
  </r>
  <r>
    <x v="2"/>
    <x v="3"/>
  </r>
  <r>
    <x v="3"/>
    <x v="0"/>
  </r>
  <r>
    <x v="2"/>
    <x v="2"/>
  </r>
  <r>
    <x v="3"/>
    <x v="3"/>
  </r>
  <r>
    <x v="0"/>
    <x v="0"/>
  </r>
  <r>
    <x v="0"/>
    <x v="0"/>
  </r>
  <r>
    <x v="2"/>
    <x v="2"/>
  </r>
  <r>
    <x v="1"/>
    <x v="1"/>
  </r>
  <r>
    <x v="0"/>
    <x v="0"/>
  </r>
  <r>
    <x v="3"/>
    <x v="3"/>
  </r>
  <r>
    <x v="0"/>
    <x v="0"/>
  </r>
  <r>
    <x v="3"/>
    <x v="3"/>
  </r>
  <r>
    <x v="2"/>
    <x v="2"/>
  </r>
  <r>
    <x v="1"/>
    <x v="1"/>
  </r>
  <r>
    <x v="0"/>
    <x v="0"/>
  </r>
  <r>
    <x v="2"/>
    <x v="2"/>
  </r>
  <r>
    <x v="2"/>
    <x v="2"/>
  </r>
  <r>
    <x v="1"/>
    <x v="1"/>
  </r>
  <r>
    <x v="2"/>
    <x v="3"/>
  </r>
  <r>
    <x v="3"/>
    <x v="2"/>
  </r>
  <r>
    <x v="1"/>
    <x v="1"/>
  </r>
  <r>
    <x v="2"/>
    <x v="2"/>
  </r>
  <r>
    <x v="3"/>
    <x v="3"/>
  </r>
  <r>
    <x v="2"/>
    <x v="2"/>
  </r>
  <r>
    <x v="3"/>
    <x v="3"/>
  </r>
  <r>
    <x v="1"/>
    <x v="1"/>
  </r>
  <r>
    <x v="1"/>
    <x v="1"/>
  </r>
  <r>
    <x v="0"/>
    <x v="3"/>
  </r>
  <r>
    <x v="1"/>
    <x v="1"/>
  </r>
  <r>
    <x v="1"/>
    <x v="1"/>
  </r>
  <r>
    <x v="3"/>
    <x v="3"/>
  </r>
  <r>
    <x v="0"/>
    <x v="3"/>
  </r>
  <r>
    <x v="0"/>
    <x v="0"/>
  </r>
  <r>
    <x v="1"/>
    <x v="1"/>
  </r>
  <r>
    <x v="3"/>
    <x v="3"/>
  </r>
  <r>
    <x v="0"/>
    <x v="0"/>
  </r>
  <r>
    <x v="0"/>
    <x v="0"/>
  </r>
  <r>
    <x v="3"/>
    <x v="3"/>
  </r>
  <r>
    <x v="3"/>
    <x v="3"/>
  </r>
  <r>
    <x v="1"/>
    <x v="1"/>
  </r>
  <r>
    <x v="3"/>
    <x v="3"/>
  </r>
  <r>
    <x v="0"/>
    <x v="0"/>
  </r>
  <r>
    <x v="0"/>
    <x v="0"/>
  </r>
  <r>
    <x v="0"/>
    <x v="0"/>
  </r>
  <r>
    <x v="1"/>
    <x v="1"/>
  </r>
  <r>
    <x v="0"/>
    <x v="0"/>
  </r>
  <r>
    <x v="0"/>
    <x v="3"/>
  </r>
  <r>
    <x v="4"/>
    <x v="4"/>
  </r>
  <r>
    <x v="4"/>
    <x v="4"/>
  </r>
  <r>
    <x v="4"/>
    <x v="4"/>
  </r>
  <r>
    <x v="4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</r>
  <r>
    <x v="1"/>
    <x v="1"/>
  </r>
  <r>
    <x v="2"/>
    <x v="2"/>
  </r>
  <r>
    <x v="3"/>
    <x v="3"/>
  </r>
  <r>
    <x v="0"/>
    <x v="0"/>
  </r>
  <r>
    <x v="2"/>
    <x v="2"/>
  </r>
  <r>
    <x v="3"/>
    <x v="3"/>
  </r>
  <r>
    <x v="0"/>
    <x v="0"/>
  </r>
  <r>
    <x v="0"/>
    <x v="0"/>
  </r>
  <r>
    <x v="3"/>
    <x v="2"/>
  </r>
  <r>
    <x v="1"/>
    <x v="1"/>
  </r>
  <r>
    <x v="0"/>
    <x v="0"/>
  </r>
  <r>
    <x v="3"/>
    <x v="3"/>
  </r>
  <r>
    <x v="0"/>
    <x v="0"/>
  </r>
  <r>
    <x v="3"/>
    <x v="3"/>
  </r>
  <r>
    <x v="2"/>
    <x v="2"/>
  </r>
  <r>
    <x v="1"/>
    <x v="1"/>
  </r>
  <r>
    <x v="0"/>
    <x v="0"/>
  </r>
  <r>
    <x v="2"/>
    <x v="2"/>
  </r>
  <r>
    <x v="2"/>
    <x v="2"/>
  </r>
  <r>
    <x v="1"/>
    <x v="1"/>
  </r>
  <r>
    <x v="3"/>
    <x v="3"/>
  </r>
  <r>
    <x v="2"/>
    <x v="2"/>
  </r>
  <r>
    <x v="1"/>
    <x v="1"/>
  </r>
  <r>
    <x v="2"/>
    <x v="2"/>
  </r>
  <r>
    <x v="3"/>
    <x v="3"/>
  </r>
  <r>
    <x v="0"/>
    <x v="0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3"/>
    <x v="3"/>
  </r>
  <r>
    <x v="3"/>
    <x v="3"/>
  </r>
  <r>
    <x v="0"/>
    <x v="0"/>
  </r>
  <r>
    <x v="1"/>
    <x v="1"/>
  </r>
  <r>
    <x v="3"/>
    <x v="2"/>
  </r>
  <r>
    <x v="0"/>
    <x v="0"/>
  </r>
  <r>
    <x v="0"/>
    <x v="0"/>
  </r>
  <r>
    <x v="3"/>
    <x v="3"/>
  </r>
  <r>
    <x v="2"/>
    <x v="2"/>
  </r>
  <r>
    <x v="1"/>
    <x v="1"/>
  </r>
  <r>
    <x v="3"/>
    <x v="3"/>
  </r>
  <r>
    <x v="2"/>
    <x v="3"/>
  </r>
  <r>
    <x v="0"/>
    <x v="0"/>
  </r>
  <r>
    <x v="0"/>
    <x v="0"/>
  </r>
  <r>
    <x v="1"/>
    <x v="1"/>
  </r>
  <r>
    <x v="3"/>
    <x v="0"/>
  </r>
  <r>
    <x v="0"/>
    <x v="3"/>
  </r>
  <r>
    <x v="4"/>
    <x v="4"/>
  </r>
  <r>
    <x v="4"/>
    <x v="4"/>
  </r>
  <r>
    <x v="4"/>
    <x v="4"/>
  </r>
  <r>
    <x v="4"/>
    <x v="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</r>
  <r>
    <x v="1"/>
    <x v="1"/>
  </r>
  <r>
    <x v="1"/>
    <x v="1"/>
  </r>
  <r>
    <x v="2"/>
    <x v="2"/>
  </r>
  <r>
    <x v="3"/>
    <x v="3"/>
  </r>
  <r>
    <x v="1"/>
    <x v="1"/>
  </r>
  <r>
    <x v="0"/>
    <x v="0"/>
  </r>
  <r>
    <x v="2"/>
    <x v="2"/>
  </r>
  <r>
    <x v="0"/>
    <x v="0"/>
  </r>
  <r>
    <x v="2"/>
    <x v="2"/>
  </r>
  <r>
    <x v="0"/>
    <x v="0"/>
  </r>
  <r>
    <x v="2"/>
    <x v="2"/>
  </r>
  <r>
    <x v="2"/>
    <x v="2"/>
  </r>
  <r>
    <x v="0"/>
    <x v="0"/>
  </r>
  <r>
    <x v="3"/>
    <x v="3"/>
  </r>
  <r>
    <x v="2"/>
    <x v="2"/>
  </r>
  <r>
    <x v="0"/>
    <x v="0"/>
  </r>
  <r>
    <x v="3"/>
    <x v="3"/>
  </r>
  <r>
    <x v="1"/>
    <x v="1"/>
  </r>
  <r>
    <x v="2"/>
    <x v="1"/>
  </r>
  <r>
    <x v="3"/>
    <x v="3"/>
  </r>
  <r>
    <x v="0"/>
    <x v="0"/>
  </r>
  <r>
    <x v="0"/>
    <x v="0"/>
  </r>
  <r>
    <x v="1"/>
    <x v="1"/>
  </r>
  <r>
    <x v="1"/>
    <x v="2"/>
  </r>
  <r>
    <x v="0"/>
    <x v="0"/>
  </r>
  <r>
    <x v="1"/>
    <x v="1"/>
  </r>
  <r>
    <x v="2"/>
    <x v="2"/>
  </r>
  <r>
    <x v="0"/>
    <x v="0"/>
  </r>
  <r>
    <x v="0"/>
    <x v="0"/>
  </r>
  <r>
    <x v="0"/>
    <x v="0"/>
  </r>
  <r>
    <x v="1"/>
    <x v="1"/>
  </r>
  <r>
    <x v="1"/>
    <x v="1"/>
  </r>
  <r>
    <x v="2"/>
    <x v="2"/>
  </r>
  <r>
    <x v="2"/>
    <x v="2"/>
  </r>
  <r>
    <x v="2"/>
    <x v="2"/>
  </r>
  <r>
    <x v="0"/>
    <x v="0"/>
  </r>
  <r>
    <x v="2"/>
    <x v="2"/>
  </r>
  <r>
    <x v="3"/>
    <x v="3"/>
  </r>
  <r>
    <x v="1"/>
    <x v="3"/>
  </r>
  <r>
    <x v="0"/>
    <x v="2"/>
  </r>
  <r>
    <x v="1"/>
    <x v="2"/>
  </r>
  <r>
    <x v="2"/>
    <x v="2"/>
  </r>
  <r>
    <x v="3"/>
    <x v="3"/>
  </r>
  <r>
    <x v="1"/>
    <x v="1"/>
  </r>
  <r>
    <x v="1"/>
    <x v="1"/>
  </r>
  <r>
    <x v="3"/>
    <x v="3"/>
  </r>
  <r>
    <x v="3"/>
    <x v="3"/>
  </r>
  <r>
    <x v="0"/>
    <x v="0"/>
  </r>
  <r>
    <x v="0"/>
    <x v="0"/>
  </r>
  <r>
    <x v="3"/>
    <x v="3"/>
  </r>
  <r>
    <x v="3"/>
    <x v="3"/>
  </r>
  <r>
    <x v="0"/>
    <x v="0"/>
  </r>
  <r>
    <x v="3"/>
    <x v="3"/>
  </r>
  <r>
    <x v="2"/>
    <x v="2"/>
  </r>
  <r>
    <x v="1"/>
    <x v="2"/>
  </r>
  <r>
    <x v="3"/>
    <x v="3"/>
  </r>
  <r>
    <x v="0"/>
    <x v="0"/>
  </r>
  <r>
    <x v="2"/>
    <x v="2"/>
  </r>
  <r>
    <x v="2"/>
    <x v="2"/>
  </r>
  <r>
    <x v="1"/>
    <x v="1"/>
  </r>
  <r>
    <x v="2"/>
    <x v="2"/>
  </r>
  <r>
    <x v="0"/>
    <x v="0"/>
  </r>
  <r>
    <x v="3"/>
    <x v="3"/>
  </r>
  <r>
    <x v="0"/>
    <x v="0"/>
  </r>
  <r>
    <x v="1"/>
    <x v="1"/>
  </r>
  <r>
    <x v="2"/>
    <x v="2"/>
  </r>
  <r>
    <x v="1"/>
    <x v="1"/>
  </r>
  <r>
    <x v="2"/>
    <x v="2"/>
  </r>
  <r>
    <x v="0"/>
    <x v="0"/>
  </r>
  <r>
    <x v="0"/>
    <x v="0"/>
  </r>
  <r>
    <x v="2"/>
    <x v="2"/>
  </r>
  <r>
    <x v="2"/>
    <x v="2"/>
  </r>
  <r>
    <x v="2"/>
    <x v="2"/>
  </r>
  <r>
    <x v="3"/>
    <x v="3"/>
  </r>
  <r>
    <x v="1"/>
    <x v="1"/>
  </r>
  <r>
    <x v="2"/>
    <x v="1"/>
  </r>
  <r>
    <x v="3"/>
    <x v="3"/>
  </r>
  <r>
    <x v="1"/>
    <x v="1"/>
  </r>
  <r>
    <x v="3"/>
    <x v="3"/>
  </r>
  <r>
    <x v="1"/>
    <x v="1"/>
  </r>
  <r>
    <x v="1"/>
    <x v="1"/>
  </r>
  <r>
    <x v="0"/>
    <x v="0"/>
  </r>
  <r>
    <x v="3"/>
    <x v="3"/>
  </r>
  <r>
    <x v="1"/>
    <x v="1"/>
  </r>
  <r>
    <x v="1"/>
    <x v="1"/>
  </r>
  <r>
    <x v="3"/>
    <x v="3"/>
  </r>
  <r>
    <x v="1"/>
    <x v="1"/>
  </r>
  <r>
    <x v="0"/>
    <x v="0"/>
  </r>
  <r>
    <x v="3"/>
    <x v="3"/>
  </r>
  <r>
    <x v="3"/>
    <x v="3"/>
  </r>
  <r>
    <x v="2"/>
    <x v="2"/>
  </r>
  <r>
    <x v="3"/>
    <x v="3"/>
  </r>
  <r>
    <x v="2"/>
    <x v="2"/>
  </r>
  <r>
    <x v="3"/>
    <x v="3"/>
  </r>
  <r>
    <x v="3"/>
    <x v="3"/>
  </r>
  <r>
    <x v="2"/>
    <x v="2"/>
  </r>
  <r>
    <x v="0"/>
    <x v="0"/>
  </r>
  <r>
    <x v="3"/>
    <x v="3"/>
  </r>
  <r>
    <x v="0"/>
    <x v="2"/>
  </r>
  <r>
    <x v="4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</r>
  <r>
    <x v="1"/>
    <x v="1"/>
  </r>
  <r>
    <x v="1"/>
    <x v="1"/>
  </r>
  <r>
    <x v="2"/>
    <x v="1"/>
  </r>
  <r>
    <x v="1"/>
    <x v="1"/>
  </r>
  <r>
    <x v="2"/>
    <x v="2"/>
  </r>
  <r>
    <x v="2"/>
    <x v="2"/>
  </r>
  <r>
    <x v="3"/>
    <x v="3"/>
  </r>
  <r>
    <x v="3"/>
    <x v="3"/>
  </r>
  <r>
    <x v="2"/>
    <x v="2"/>
  </r>
  <r>
    <x v="3"/>
    <x v="3"/>
  </r>
  <r>
    <x v="2"/>
    <x v="2"/>
  </r>
  <r>
    <x v="1"/>
    <x v="2"/>
  </r>
  <r>
    <x v="0"/>
    <x v="0"/>
  </r>
  <r>
    <x v="3"/>
    <x v="3"/>
  </r>
  <r>
    <x v="2"/>
    <x v="2"/>
  </r>
  <r>
    <x v="0"/>
    <x v="0"/>
  </r>
  <r>
    <x v="3"/>
    <x v="3"/>
  </r>
  <r>
    <x v="2"/>
    <x v="2"/>
  </r>
  <r>
    <x v="3"/>
    <x v="3"/>
  </r>
  <r>
    <x v="2"/>
    <x v="0"/>
  </r>
  <r>
    <x v="2"/>
    <x v="2"/>
  </r>
  <r>
    <x v="2"/>
    <x v="2"/>
  </r>
  <r>
    <x v="3"/>
    <x v="3"/>
  </r>
  <r>
    <x v="1"/>
    <x v="1"/>
  </r>
  <r>
    <x v="1"/>
    <x v="1"/>
  </r>
  <r>
    <x v="0"/>
    <x v="0"/>
  </r>
  <r>
    <x v="1"/>
    <x v="1"/>
  </r>
  <r>
    <x v="1"/>
    <x v="1"/>
  </r>
  <r>
    <x v="1"/>
    <x v="1"/>
  </r>
  <r>
    <x v="2"/>
    <x v="2"/>
  </r>
  <r>
    <x v="3"/>
    <x v="3"/>
  </r>
  <r>
    <x v="3"/>
    <x v="3"/>
  </r>
  <r>
    <x v="2"/>
    <x v="2"/>
  </r>
  <r>
    <x v="3"/>
    <x v="3"/>
  </r>
  <r>
    <x v="2"/>
    <x v="2"/>
  </r>
  <r>
    <x v="3"/>
    <x v="3"/>
  </r>
  <r>
    <x v="1"/>
    <x v="1"/>
  </r>
  <r>
    <x v="0"/>
    <x v="0"/>
  </r>
  <r>
    <x v="0"/>
    <x v="0"/>
  </r>
  <r>
    <x v="1"/>
    <x v="2"/>
  </r>
  <r>
    <x v="1"/>
    <x v="1"/>
  </r>
  <r>
    <x v="3"/>
    <x v="3"/>
  </r>
  <r>
    <x v="3"/>
    <x v="3"/>
  </r>
  <r>
    <x v="2"/>
    <x v="2"/>
  </r>
  <r>
    <x v="0"/>
    <x v="0"/>
  </r>
  <r>
    <x v="1"/>
    <x v="1"/>
  </r>
  <r>
    <x v="3"/>
    <x v="3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0"/>
    <x v="0"/>
  </r>
  <r>
    <x v="1"/>
    <x v="1"/>
  </r>
  <r>
    <x v="3"/>
    <x v="3"/>
  </r>
  <r>
    <x v="0"/>
    <x v="2"/>
  </r>
  <r>
    <x v="0"/>
    <x v="0"/>
  </r>
  <r>
    <x v="2"/>
    <x v="2"/>
  </r>
  <r>
    <x v="1"/>
    <x v="1"/>
  </r>
  <r>
    <x v="0"/>
    <x v="0"/>
  </r>
  <r>
    <x v="1"/>
    <x v="2"/>
  </r>
  <r>
    <x v="0"/>
    <x v="0"/>
  </r>
  <r>
    <x v="0"/>
    <x v="0"/>
  </r>
  <r>
    <x v="1"/>
    <x v="1"/>
  </r>
  <r>
    <x v="1"/>
    <x v="1"/>
  </r>
  <r>
    <x v="1"/>
    <x v="1"/>
  </r>
  <r>
    <x v="3"/>
    <x v="3"/>
  </r>
  <r>
    <x v="3"/>
    <x v="3"/>
  </r>
  <r>
    <x v="3"/>
    <x v="3"/>
  </r>
  <r>
    <x v="1"/>
    <x v="1"/>
  </r>
  <r>
    <x v="2"/>
    <x v="2"/>
  </r>
  <r>
    <x v="0"/>
    <x v="0"/>
  </r>
  <r>
    <x v="2"/>
    <x v="2"/>
  </r>
  <r>
    <x v="2"/>
    <x v="2"/>
  </r>
  <r>
    <x v="1"/>
    <x v="1"/>
  </r>
  <r>
    <x v="2"/>
    <x v="2"/>
  </r>
  <r>
    <x v="1"/>
    <x v="1"/>
  </r>
  <r>
    <x v="3"/>
    <x v="3"/>
  </r>
  <r>
    <x v="1"/>
    <x v="1"/>
  </r>
  <r>
    <x v="2"/>
    <x v="2"/>
  </r>
  <r>
    <x v="3"/>
    <x v="3"/>
  </r>
  <r>
    <x v="0"/>
    <x v="2"/>
  </r>
  <r>
    <x v="1"/>
    <x v="1"/>
  </r>
  <r>
    <x v="0"/>
    <x v="0"/>
  </r>
  <r>
    <x v="2"/>
    <x v="2"/>
  </r>
  <r>
    <x v="0"/>
    <x v="0"/>
  </r>
  <r>
    <x v="3"/>
    <x v="3"/>
  </r>
  <r>
    <x v="1"/>
    <x v="1"/>
  </r>
  <r>
    <x v="1"/>
    <x v="1"/>
  </r>
  <r>
    <x v="1"/>
    <x v="1"/>
  </r>
  <r>
    <x v="0"/>
    <x v="0"/>
  </r>
  <r>
    <x v="3"/>
    <x v="3"/>
  </r>
  <r>
    <x v="0"/>
    <x v="2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EA693-F2AF-9E4B-BD42-328EF3C518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P6:U12" firstHeaderRow="1" firstDataRow="2" firstDataCol="1"/>
  <pivotFields count="2">
    <pivotField axis="axisCol" showAll="0">
      <items count="5">
        <item x="3"/>
        <item x="2"/>
        <item x="0"/>
        <item x="1"/>
        <item t="default"/>
      </items>
    </pivotField>
    <pivotField axis="axisRow" dataField="1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 Richesse" fld="1" showDataAs="percentOfRow" baseField="0" baseItem="0" numFmtId="10"/>
  </dataFields>
  <formats count="21">
    <format dxfId="89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88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87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86">
      <pivotArea collapsedLevelsAreSubtotals="1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85">
      <pivotArea collapsedLevelsAreSubtotals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84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83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82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81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80">
      <pivotArea collapsedLevelsAreSubtotals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79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78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77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7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75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74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73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72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71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70">
      <pivotArea field="0" grandRow="1" outline="0" collapsedLevelsAreSubtotals="1" axis="axisCol" fieldPosition="0">
        <references count="1">
          <reference field="0" count="1" selected="0">
            <x v="2"/>
          </reference>
        </references>
      </pivotArea>
    </format>
    <format dxfId="69">
      <pivotArea collapsedLevelsAreSubtotals="1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1F663-C2AD-874D-99C5-DFE720E6790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Q6:V12" firstHeaderRow="1" firstDataRow="2" firstDataCol="1"/>
  <pivotFields count="2">
    <pivotField axis="axisCol" showAll="0">
      <items count="5">
        <item x="1"/>
        <item x="2"/>
        <item x="3"/>
        <item x="0"/>
        <item t="default"/>
      </items>
    </pivotField>
    <pivotField axis="axisRow" dataField="1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Richesses" fld="1" showDataAs="percentOfRow" baseField="0" baseItem="0" numFmtId="10"/>
  </dataFields>
  <formats count="22">
    <format dxfId="68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67">
      <pivotArea collapsedLevelsAreSubtotals="1" fieldPosition="0">
        <references count="2">
          <reference field="0" count="1">
            <x v="1"/>
          </reference>
          <reference field="1" count="1" selected="0">
            <x v="1"/>
          </reference>
        </references>
      </pivotArea>
    </format>
    <format dxfId="66">
      <pivotArea collapsedLevelsAreSubtotals="1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65">
      <pivotArea collapsedLevelsAreSubtotals="1" fieldPosition="0">
        <references count="2">
          <reference field="0" count="1">
            <x v="3"/>
          </reference>
          <reference field="1" count="1" selected="0">
            <x v="3"/>
          </reference>
        </references>
      </pivotArea>
    </format>
    <format dxfId="64">
      <pivotArea collapsedLevelsAreSubtotals="1" fieldPosition="0">
        <references count="2">
          <reference field="0" count="1">
            <x v="3"/>
          </reference>
          <reference field="1" count="1" selected="0">
            <x v="2"/>
          </reference>
        </references>
      </pivotArea>
    </format>
    <format dxfId="63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62">
      <pivotArea collapsedLevelsAreSubtotals="1" fieldPosition="0">
        <references count="2">
          <reference field="0" count="1">
            <x v="1"/>
          </reference>
          <reference field="1" count="1" selected="0">
            <x v="2"/>
          </reference>
        </references>
      </pivotArea>
    </format>
    <format dxfId="61">
      <pivotArea collapsedLevelsAreSubtotals="1" fieldPosition="0">
        <references count="2">
          <reference field="0" count="1">
            <x v="0"/>
          </reference>
          <reference field="1" count="1" selected="0">
            <x v="2"/>
          </reference>
        </references>
      </pivotArea>
    </format>
    <format dxfId="60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59">
      <pivotArea collapsedLevelsAreSubtotals="1" fieldPosition="0">
        <references count="2">
          <reference field="0" count="1">
            <x v="1"/>
          </reference>
          <reference field="1" count="1" selected="0">
            <x v="1"/>
          </reference>
        </references>
      </pivotArea>
    </format>
    <format dxfId="58">
      <pivotArea collapsedLevelsAreSubtotals="1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57">
      <pivotArea collapsedLevelsAreSubtotals="1" fieldPosition="0">
        <references count="2">
          <reference field="0" count="1">
            <x v="3"/>
          </reference>
          <reference field="1" count="1" selected="0">
            <x v="3"/>
          </reference>
        </references>
      </pivotArea>
    </format>
    <format dxfId="56">
      <pivotArea collapsedLevelsAreSubtotals="1" fieldPosition="0">
        <references count="2">
          <reference field="0" count="1">
            <x v="1"/>
          </reference>
          <reference field="1" count="1" selected="0">
            <x v="2"/>
          </reference>
        </references>
      </pivotArea>
    </format>
    <format dxfId="55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54">
      <pivotArea collapsedLevelsAreSubtotals="1" fieldPosition="0">
        <references count="2">
          <reference field="0" count="1">
            <x v="3"/>
          </reference>
          <reference field="1" count="1" selected="0">
            <x v="2"/>
          </reference>
        </references>
      </pivotArea>
    </format>
    <format dxfId="53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52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51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50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49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8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47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D8743-EFA2-0E4C-990E-54AAB060139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N4:S10" firstHeaderRow="1" firstDataRow="2" firstDataCol="1"/>
  <pivotFields count="2">
    <pivotField axis="axisCol" showAll="0">
      <items count="6">
        <item x="1"/>
        <item x="3"/>
        <item x="2"/>
        <item x="0"/>
        <item x="4"/>
        <item t="default"/>
      </items>
    </pivotField>
    <pivotField axis="axisRow" dataField="1" showAll="0">
      <items count="6">
        <item x="1"/>
        <item x="2"/>
        <item x="3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9">
    <format dxfId="46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5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44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43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42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41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40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39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38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B2B0D-B36F-1640-95E7-4BA9802611A6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8:R14" firstHeaderRow="1" firstDataRow="2" firstDataCol="1"/>
  <pivotFields count="2">
    <pivotField axis="axisCol" showAll="0">
      <items count="6">
        <item x="1"/>
        <item x="2"/>
        <item x="3"/>
        <item x="0"/>
        <item x="4"/>
        <item t="default"/>
      </items>
    </pivotField>
    <pivotField axis="axisRow" dataField="1" showAll="0">
      <items count="6">
        <item x="1"/>
        <item x="2"/>
        <item x="3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9">
    <format dxfId="37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6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5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4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33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32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31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30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29">
      <pivotArea collapsedLevelsAreSubtotals="1" fieldPosition="0">
        <references count="2">
          <reference field="0" count="1" selected="0">
            <x v="0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D1C05-BCB4-2947-A481-BC40550D718F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23:R29" firstHeaderRow="1" firstDataRow="2" firstDataCol="1"/>
  <pivotFields count="2">
    <pivotField axis="axisCol" showAll="0">
      <items count="6">
        <item x="1"/>
        <item x="2"/>
        <item x="3"/>
        <item x="0"/>
        <item x="4"/>
        <item t="default"/>
      </items>
    </pivotField>
    <pivotField axis="axisRow" dataField="1" showAll="0">
      <items count="6">
        <item x="1"/>
        <item x="2"/>
        <item x="3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8">
    <format dxfId="17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6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5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4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3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2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1">
      <pivotArea collapsedLevelsAreSubtotals="1" fieldPosition="0">
        <references count="2">
          <reference field="0" count="1" selected="0">
            <x v="2"/>
          </reference>
          <reference field="1" count="1">
            <x v="3"/>
          </reference>
        </references>
      </pivotArea>
    </format>
    <format dxfId="10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AA3E9-420E-7249-9CAA-2E626F820A95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41:R47" firstHeaderRow="1" firstDataRow="2" firstDataCol="1"/>
  <pivotFields count="2">
    <pivotField axis="axisCol" showAll="0">
      <items count="6">
        <item x="3"/>
        <item x="1"/>
        <item x="2"/>
        <item x="0"/>
        <item x="4"/>
        <item t="default"/>
      </items>
    </pivotField>
    <pivotField axis="axisRow" dataField="1" showAll="0">
      <items count="6">
        <item x="3"/>
        <item x="1"/>
        <item x="2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8">
    <format dxfId="25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4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3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2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21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0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9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18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6C266-2B61-7F4A-A68B-63AE3E07AFD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31:R37" firstHeaderRow="1" firstDataRow="2" firstDataCol="1"/>
  <pivotFields count="2">
    <pivotField axis="axisCol" showAll="0">
      <items count="6">
        <item x="1"/>
        <item x="2"/>
        <item x="3"/>
        <item x="0"/>
        <item x="4"/>
        <item t="default"/>
      </items>
    </pivotField>
    <pivotField axis="axisRow" dataField="1" showAll="0">
      <items count="6">
        <item x="1"/>
        <item x="2"/>
        <item x="3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3">
    <format dxfId="28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7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26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2BED7-B68F-E148-A067-16805BF2FB50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7:Z33" firstHeaderRow="1" firstDataRow="2" firstDataCol="1"/>
  <pivotFields count="2">
    <pivotField axis="axisCol" showAll="0">
      <items count="5">
        <item x="3"/>
        <item x="0"/>
        <item x="2"/>
        <item x="1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668FB-6CB1-DF46-B106-C7EEB469D23D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UE" colHeaderCaption="PRED">
  <location ref="M41:R47" firstHeaderRow="1" firstDataRow="2" firstDataCol="1"/>
  <pivotFields count="2">
    <pivotField axis="axisCol" showAll="0">
      <items count="6">
        <item x="3"/>
        <item x="1"/>
        <item x="2"/>
        <item x="0"/>
        <item x="4"/>
        <item t="default"/>
      </items>
    </pivotField>
    <pivotField axis="axisRow" dataField="1" showAll="0">
      <items count="6">
        <item x="3"/>
        <item x="1"/>
        <item x="2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ichesse" fld="1" subtotal="count" showDataAs="percentOfRow" baseField="0" baseItem="0" numFmtId="10"/>
  </dataFields>
  <formats count="8">
    <format dxfId="9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8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7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6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5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4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3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5A62-92E3-3749-812C-20B4D985FF69}">
  <dimension ref="A10:G20"/>
  <sheetViews>
    <sheetView workbookViewId="0">
      <selection activeCell="J11" sqref="J11"/>
    </sheetView>
  </sheetViews>
  <sheetFormatPr baseColWidth="10" defaultRowHeight="16" x14ac:dyDescent="0.2"/>
  <sheetData>
    <row r="10" spans="1:7" x14ac:dyDescent="0.2">
      <c r="A10" s="18" t="s">
        <v>104</v>
      </c>
      <c r="B10" s="18"/>
      <c r="C10" s="18"/>
      <c r="D10" s="18"/>
      <c r="E10" s="18"/>
      <c r="F10" s="18"/>
      <c r="G10" s="18"/>
    </row>
    <row r="11" spans="1:7" x14ac:dyDescent="0.2">
      <c r="A11" s="18"/>
      <c r="B11" s="18"/>
      <c r="C11" s="18"/>
      <c r="D11" s="18"/>
      <c r="E11" s="18"/>
      <c r="F11" s="18"/>
      <c r="G11" s="18"/>
    </row>
    <row r="12" spans="1:7" x14ac:dyDescent="0.2">
      <c r="A12" s="18"/>
      <c r="B12" s="18"/>
      <c r="C12" s="18"/>
      <c r="D12" s="18"/>
      <c r="E12" s="18"/>
      <c r="F12" s="18"/>
      <c r="G12" s="18"/>
    </row>
    <row r="13" spans="1:7" x14ac:dyDescent="0.2">
      <c r="A13" s="18"/>
      <c r="B13" s="18"/>
      <c r="C13" s="18"/>
      <c r="D13" s="18"/>
      <c r="E13" s="18"/>
      <c r="F13" s="18"/>
      <c r="G13" s="18"/>
    </row>
    <row r="14" spans="1:7" x14ac:dyDescent="0.2">
      <c r="A14" s="18"/>
      <c r="B14" s="18"/>
      <c r="C14" s="18"/>
      <c r="D14" s="18"/>
      <c r="E14" s="18"/>
      <c r="F14" s="18"/>
      <c r="G14" s="18"/>
    </row>
    <row r="15" spans="1:7" x14ac:dyDescent="0.2">
      <c r="A15" s="18"/>
      <c r="B15" s="18"/>
      <c r="C15" s="18"/>
      <c r="D15" s="18"/>
      <c r="E15" s="18"/>
      <c r="F15" s="18"/>
      <c r="G15" s="18"/>
    </row>
    <row r="16" spans="1:7" x14ac:dyDescent="0.2">
      <c r="A16" s="18"/>
      <c r="B16" s="18"/>
      <c r="C16" s="18"/>
      <c r="D16" s="18"/>
      <c r="E16" s="18"/>
      <c r="F16" s="18"/>
      <c r="G16" s="18"/>
    </row>
    <row r="17" spans="1:7" x14ac:dyDescent="0.2">
      <c r="A17" s="18"/>
      <c r="B17" s="18"/>
      <c r="C17" s="18"/>
      <c r="D17" s="18"/>
      <c r="E17" s="18"/>
      <c r="F17" s="18"/>
      <c r="G17" s="18"/>
    </row>
    <row r="18" spans="1:7" x14ac:dyDescent="0.2">
      <c r="A18" s="18"/>
      <c r="B18" s="18"/>
      <c r="C18" s="18"/>
      <c r="D18" s="18"/>
      <c r="E18" s="18"/>
      <c r="F18" s="18"/>
      <c r="G18" s="18"/>
    </row>
    <row r="19" spans="1:7" x14ac:dyDescent="0.2">
      <c r="A19" s="18"/>
      <c r="B19" s="18"/>
      <c r="C19" s="18"/>
      <c r="D19" s="18"/>
      <c r="E19" s="18"/>
      <c r="F19" s="18"/>
      <c r="G19" s="18"/>
    </row>
    <row r="20" spans="1:7" x14ac:dyDescent="0.2">
      <c r="A20" s="18"/>
      <c r="B20" s="18"/>
      <c r="C20" s="18"/>
      <c r="D20" s="18"/>
      <c r="E20" s="18"/>
      <c r="F20" s="18"/>
      <c r="G20" s="18"/>
    </row>
  </sheetData>
  <mergeCells count="1">
    <mergeCell ref="A1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2363-9FBA-234B-BEE3-E07BAD6E0199}">
  <dimension ref="A1:U54"/>
  <sheetViews>
    <sheetView topLeftCell="B6" workbookViewId="0">
      <selection activeCell="K54" sqref="K54"/>
    </sheetView>
  </sheetViews>
  <sheetFormatPr baseColWidth="10" defaultRowHeight="16" x14ac:dyDescent="0.2"/>
  <cols>
    <col min="16" max="16" width="14.83203125" bestFit="1" customWidth="1"/>
    <col min="17" max="17" width="16" bestFit="1" customWidth="1"/>
    <col min="18" max="20" width="7.1640625" bestFit="1" customWidth="1"/>
    <col min="21" max="21" width="10.5" bestFit="1" customWidth="1"/>
  </cols>
  <sheetData>
    <row r="1" spans="1:2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21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80</v>
      </c>
      <c r="H2" s="6">
        <v>0.85</v>
      </c>
      <c r="I2">
        <f>_xlfn.XLOOKUP(G2,$C$2:$C$35,$A$2:$A$35)</f>
        <v>0.95</v>
      </c>
      <c r="J2">
        <f>((H2-I2))</f>
        <v>-9.9999999999999978E-2</v>
      </c>
      <c r="K2">
        <f>IF(J2&gt;0,J2,-J2)</f>
        <v>9.9999999999999978E-2</v>
      </c>
    </row>
    <row r="3" spans="1:21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26</v>
      </c>
      <c r="H3" s="6">
        <v>0.95</v>
      </c>
      <c r="I3">
        <f t="shared" ref="I3:I51" si="0">_xlfn.XLOOKUP(G3,$C$2:$C$35,$A$2:$A$35)</f>
        <v>0.75</v>
      </c>
      <c r="J3">
        <f t="shared" ref="J3:J51" si="1">((H3-I3))</f>
        <v>0.19999999999999996</v>
      </c>
      <c r="K3">
        <f t="shared" ref="K3:K51" si="2">IF(J3&gt;0,J3,-J3)</f>
        <v>0.19999999999999996</v>
      </c>
    </row>
    <row r="4" spans="1:21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5</v>
      </c>
      <c r="H4" s="6">
        <v>0.75</v>
      </c>
      <c r="I4">
        <f t="shared" si="0"/>
        <v>0.65</v>
      </c>
      <c r="J4">
        <f t="shared" si="1"/>
        <v>9.9999999999999978E-2</v>
      </c>
      <c r="K4">
        <f t="shared" si="2"/>
        <v>9.9999999999999978E-2</v>
      </c>
    </row>
    <row r="5" spans="1:21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83</v>
      </c>
      <c r="H5" s="6">
        <v>0.85</v>
      </c>
      <c r="I5">
        <f t="shared" si="0"/>
        <v>0.95</v>
      </c>
      <c r="J5">
        <f t="shared" si="1"/>
        <v>-9.9999999999999978E-2</v>
      </c>
      <c r="K5">
        <f t="shared" si="2"/>
        <v>9.9999999999999978E-2</v>
      </c>
    </row>
    <row r="6" spans="1:21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65</v>
      </c>
      <c r="H6" s="6">
        <v>0.85</v>
      </c>
      <c r="I6">
        <f t="shared" si="0"/>
        <v>0.85</v>
      </c>
      <c r="J6">
        <f t="shared" si="1"/>
        <v>0</v>
      </c>
      <c r="K6">
        <f t="shared" si="2"/>
        <v>0</v>
      </c>
      <c r="P6" s="7" t="s">
        <v>95</v>
      </c>
      <c r="Q6" s="7" t="s">
        <v>94</v>
      </c>
    </row>
    <row r="7" spans="1:21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8</v>
      </c>
      <c r="H7" s="6">
        <v>0.95</v>
      </c>
      <c r="I7">
        <f t="shared" si="0"/>
        <v>0.65</v>
      </c>
      <c r="J7">
        <f t="shared" si="1"/>
        <v>0.29999999999999993</v>
      </c>
      <c r="K7">
        <f t="shared" si="2"/>
        <v>0.29999999999999993</v>
      </c>
      <c r="P7" s="7" t="s">
        <v>93</v>
      </c>
      <c r="Q7">
        <v>0.65</v>
      </c>
      <c r="R7">
        <v>0.75</v>
      </c>
      <c r="S7">
        <v>0.85</v>
      </c>
      <c r="T7">
        <v>0.95</v>
      </c>
      <c r="U7" t="s">
        <v>92</v>
      </c>
    </row>
    <row r="8" spans="1:21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77</v>
      </c>
      <c r="H8" s="6">
        <v>0.85</v>
      </c>
      <c r="I8">
        <f t="shared" si="0"/>
        <v>0.95</v>
      </c>
      <c r="J8">
        <f t="shared" si="1"/>
        <v>-9.9999999999999978E-2</v>
      </c>
      <c r="K8">
        <f t="shared" si="2"/>
        <v>9.9999999999999978E-2</v>
      </c>
      <c r="P8" s="8">
        <v>0.65</v>
      </c>
      <c r="Q8" s="12">
        <v>0.15384615384615383</v>
      </c>
      <c r="R8" s="10">
        <v>0.23076923076923075</v>
      </c>
      <c r="S8" s="11">
        <v>0.46153846153846145</v>
      </c>
      <c r="T8" s="13">
        <v>0.15384615384615383</v>
      </c>
      <c r="U8" s="9">
        <v>1</v>
      </c>
    </row>
    <row r="9" spans="1:21" x14ac:dyDescent="0.2">
      <c r="G9" s="5" t="s">
        <v>59</v>
      </c>
      <c r="H9" s="6">
        <v>0.85</v>
      </c>
      <c r="I9">
        <f t="shared" si="0"/>
        <v>0.85</v>
      </c>
      <c r="J9">
        <f t="shared" si="1"/>
        <v>0</v>
      </c>
      <c r="K9">
        <f t="shared" si="2"/>
        <v>0</v>
      </c>
      <c r="P9" s="8">
        <v>0.75</v>
      </c>
      <c r="Q9" s="9">
        <v>0</v>
      </c>
      <c r="R9" s="12">
        <v>0.36363636363636365</v>
      </c>
      <c r="S9" s="10">
        <v>0.45454545454545453</v>
      </c>
      <c r="T9" s="11">
        <v>0.18181818181818182</v>
      </c>
      <c r="U9" s="9">
        <v>1</v>
      </c>
    </row>
    <row r="10" spans="1:21" x14ac:dyDescent="0.2">
      <c r="G10" s="5" t="s">
        <v>74</v>
      </c>
      <c r="H10" s="6">
        <v>0.95</v>
      </c>
      <c r="I10">
        <f t="shared" si="0"/>
        <v>0.95</v>
      </c>
      <c r="J10">
        <f t="shared" si="1"/>
        <v>0</v>
      </c>
      <c r="K10">
        <f t="shared" si="2"/>
        <v>0</v>
      </c>
      <c r="P10" s="8">
        <v>0.85</v>
      </c>
      <c r="Q10" s="9">
        <v>0</v>
      </c>
      <c r="R10" s="10">
        <v>0.16666666666666669</v>
      </c>
      <c r="S10" s="12">
        <v>0.58333333333333326</v>
      </c>
      <c r="T10" s="10">
        <v>0.25</v>
      </c>
      <c r="U10" s="9">
        <v>1</v>
      </c>
    </row>
    <row r="11" spans="1:21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86</v>
      </c>
      <c r="H11" s="6">
        <v>0.85</v>
      </c>
      <c r="I11">
        <f t="shared" si="0"/>
        <v>0.95</v>
      </c>
      <c r="J11">
        <f t="shared" si="1"/>
        <v>-9.9999999999999978E-2</v>
      </c>
      <c r="K11">
        <f t="shared" si="2"/>
        <v>9.9999999999999978E-2</v>
      </c>
      <c r="P11" s="8">
        <v>0.95</v>
      </c>
      <c r="Q11" s="9">
        <v>0</v>
      </c>
      <c r="R11" s="9">
        <v>0</v>
      </c>
      <c r="S11" s="10">
        <v>0.7857142857142857</v>
      </c>
      <c r="T11" s="12">
        <v>0.21428571428571427</v>
      </c>
      <c r="U11" s="9">
        <v>1</v>
      </c>
    </row>
    <row r="12" spans="1:21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20</v>
      </c>
      <c r="H12" s="6">
        <v>0.85</v>
      </c>
      <c r="I12">
        <f t="shared" si="0"/>
        <v>0.65</v>
      </c>
      <c r="J12">
        <f t="shared" si="1"/>
        <v>0.19999999999999996</v>
      </c>
      <c r="K12">
        <f t="shared" si="2"/>
        <v>0.19999999999999996</v>
      </c>
      <c r="P12" s="8" t="s">
        <v>92</v>
      </c>
      <c r="Q12" s="9">
        <v>3.2338308457711441E-2</v>
      </c>
      <c r="R12" s="9">
        <v>0.1654228855721393</v>
      </c>
      <c r="S12" s="9">
        <v>0.59825870646766155</v>
      </c>
      <c r="T12" s="9">
        <v>0.20398009950248752</v>
      </c>
      <c r="U12" s="9">
        <v>1</v>
      </c>
    </row>
    <row r="13" spans="1:21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26</v>
      </c>
      <c r="H13" s="6">
        <v>0.75</v>
      </c>
      <c r="I13">
        <f t="shared" si="0"/>
        <v>0.75</v>
      </c>
      <c r="J13">
        <f t="shared" si="1"/>
        <v>0</v>
      </c>
      <c r="K13">
        <f t="shared" si="2"/>
        <v>0</v>
      </c>
    </row>
    <row r="14" spans="1:21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68</v>
      </c>
      <c r="H14" s="6">
        <v>0.95</v>
      </c>
      <c r="I14">
        <f t="shared" si="0"/>
        <v>0.95</v>
      </c>
      <c r="J14">
        <f t="shared" si="1"/>
        <v>0</v>
      </c>
      <c r="K14">
        <f t="shared" si="2"/>
        <v>0</v>
      </c>
    </row>
    <row r="15" spans="1:21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47</v>
      </c>
      <c r="H15" s="6">
        <v>0.95</v>
      </c>
      <c r="I15">
        <f t="shared" si="0"/>
        <v>0.85</v>
      </c>
      <c r="J15">
        <f t="shared" si="1"/>
        <v>9.9999999999999978E-2</v>
      </c>
      <c r="K15">
        <f t="shared" si="2"/>
        <v>9.9999999999999978E-2</v>
      </c>
    </row>
    <row r="16" spans="1:21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20</v>
      </c>
      <c r="H16" s="6">
        <v>0.85</v>
      </c>
      <c r="I16">
        <f t="shared" si="0"/>
        <v>0.65</v>
      </c>
      <c r="J16">
        <f t="shared" si="1"/>
        <v>0.19999999999999996</v>
      </c>
      <c r="K16">
        <f t="shared" si="2"/>
        <v>0.19999999999999996</v>
      </c>
    </row>
    <row r="17" spans="1:11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20</v>
      </c>
      <c r="H17" s="6">
        <v>0.85</v>
      </c>
      <c r="I17">
        <f t="shared" si="0"/>
        <v>0.65</v>
      </c>
      <c r="J17">
        <f t="shared" si="1"/>
        <v>0.19999999999999996</v>
      </c>
      <c r="K17">
        <f t="shared" si="2"/>
        <v>0.19999999999999996</v>
      </c>
    </row>
    <row r="18" spans="1:11" x14ac:dyDescent="0.2">
      <c r="G18" s="5" t="s">
        <v>59</v>
      </c>
      <c r="H18" s="6">
        <v>0.85</v>
      </c>
      <c r="I18">
        <f t="shared" si="0"/>
        <v>0.85</v>
      </c>
      <c r="J18">
        <f t="shared" si="1"/>
        <v>0</v>
      </c>
      <c r="K18">
        <f t="shared" si="2"/>
        <v>0</v>
      </c>
    </row>
    <row r="19" spans="1:11" x14ac:dyDescent="0.2">
      <c r="G19" s="5" t="s">
        <v>14</v>
      </c>
      <c r="H19" s="6">
        <v>0.65</v>
      </c>
      <c r="I19">
        <f t="shared" si="0"/>
        <v>0.65</v>
      </c>
      <c r="J19">
        <f t="shared" si="1"/>
        <v>0</v>
      </c>
      <c r="K19">
        <f t="shared" si="2"/>
        <v>0</v>
      </c>
    </row>
    <row r="20" spans="1:11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47</v>
      </c>
      <c r="H20" s="6">
        <v>0.95</v>
      </c>
      <c r="I20">
        <f t="shared" si="0"/>
        <v>0.85</v>
      </c>
      <c r="J20">
        <f t="shared" si="1"/>
        <v>9.9999999999999978E-2</v>
      </c>
      <c r="K20">
        <f t="shared" si="2"/>
        <v>9.9999999999999978E-2</v>
      </c>
    </row>
    <row r="21" spans="1:11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14</v>
      </c>
      <c r="H21" s="6">
        <v>0.65</v>
      </c>
      <c r="I21">
        <f t="shared" si="0"/>
        <v>0.65</v>
      </c>
      <c r="J21">
        <f t="shared" si="1"/>
        <v>0</v>
      </c>
      <c r="K21">
        <f t="shared" si="2"/>
        <v>0</v>
      </c>
    </row>
    <row r="22" spans="1:11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53</v>
      </c>
      <c r="H22" s="6">
        <v>0.75</v>
      </c>
      <c r="I22">
        <f t="shared" si="0"/>
        <v>0.85</v>
      </c>
      <c r="J22">
        <f t="shared" si="1"/>
        <v>-9.9999999999999978E-2</v>
      </c>
      <c r="K22">
        <f t="shared" si="2"/>
        <v>9.9999999999999978E-2</v>
      </c>
    </row>
    <row r="23" spans="1:11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35</v>
      </c>
      <c r="H23" s="6">
        <v>0.85</v>
      </c>
      <c r="I23">
        <f t="shared" si="0"/>
        <v>0.75</v>
      </c>
      <c r="J23">
        <f t="shared" si="1"/>
        <v>9.9999999999999978E-2</v>
      </c>
      <c r="K23">
        <f t="shared" si="2"/>
        <v>9.9999999999999978E-2</v>
      </c>
    </row>
    <row r="24" spans="1:11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56</v>
      </c>
      <c r="H24" s="6">
        <v>0.85</v>
      </c>
      <c r="I24">
        <f t="shared" si="0"/>
        <v>0.85</v>
      </c>
      <c r="J24">
        <f t="shared" si="1"/>
        <v>0</v>
      </c>
      <c r="K24">
        <f t="shared" si="2"/>
        <v>0</v>
      </c>
    </row>
    <row r="25" spans="1:11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83</v>
      </c>
      <c r="H25" s="6">
        <v>0.85</v>
      </c>
      <c r="I25">
        <f t="shared" si="0"/>
        <v>0.95</v>
      </c>
      <c r="J25">
        <f t="shared" si="1"/>
        <v>-9.9999999999999978E-2</v>
      </c>
      <c r="K25">
        <f t="shared" si="2"/>
        <v>9.9999999999999978E-2</v>
      </c>
    </row>
    <row r="26" spans="1:11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29</v>
      </c>
      <c r="H26" s="6">
        <v>0.75</v>
      </c>
      <c r="I26">
        <f t="shared" si="0"/>
        <v>0.75</v>
      </c>
      <c r="J26">
        <f t="shared" si="1"/>
        <v>0</v>
      </c>
      <c r="K26">
        <f t="shared" si="2"/>
        <v>0</v>
      </c>
    </row>
    <row r="27" spans="1:11" x14ac:dyDescent="0.2">
      <c r="G27" s="5" t="s">
        <v>38</v>
      </c>
      <c r="H27" s="6">
        <v>0.85</v>
      </c>
      <c r="I27">
        <f t="shared" si="0"/>
        <v>0.75</v>
      </c>
      <c r="J27">
        <f t="shared" si="1"/>
        <v>9.9999999999999978E-2</v>
      </c>
      <c r="K27">
        <f t="shared" si="2"/>
        <v>9.9999999999999978E-2</v>
      </c>
    </row>
    <row r="28" spans="1:11" x14ac:dyDescent="0.2">
      <c r="G28" s="5" t="s">
        <v>86</v>
      </c>
      <c r="H28" s="6">
        <v>0.85</v>
      </c>
      <c r="I28">
        <f t="shared" si="0"/>
        <v>0.95</v>
      </c>
      <c r="J28">
        <f t="shared" si="1"/>
        <v>-9.9999999999999978E-2</v>
      </c>
      <c r="K28">
        <f t="shared" si="2"/>
        <v>9.9999999999999978E-2</v>
      </c>
    </row>
    <row r="29" spans="1:11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23</v>
      </c>
      <c r="H29" s="6">
        <v>0.85</v>
      </c>
      <c r="I29">
        <f t="shared" si="0"/>
        <v>0.65</v>
      </c>
      <c r="J29">
        <f t="shared" si="1"/>
        <v>0.19999999999999996</v>
      </c>
      <c r="K29">
        <f t="shared" si="2"/>
        <v>0.19999999999999996</v>
      </c>
    </row>
    <row r="30" spans="1:11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41</v>
      </c>
      <c r="H30" s="6">
        <v>0.85</v>
      </c>
      <c r="I30">
        <f t="shared" si="0"/>
        <v>0.75</v>
      </c>
      <c r="J30">
        <f t="shared" si="1"/>
        <v>9.9999999999999978E-2</v>
      </c>
      <c r="K30">
        <f t="shared" si="2"/>
        <v>9.9999999999999978E-2</v>
      </c>
    </row>
    <row r="31" spans="1:11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68</v>
      </c>
      <c r="H31" s="6">
        <v>0.95</v>
      </c>
      <c r="I31">
        <f t="shared" si="0"/>
        <v>0.95</v>
      </c>
      <c r="J31">
        <f t="shared" si="1"/>
        <v>0</v>
      </c>
      <c r="K31">
        <f t="shared" si="2"/>
        <v>0</v>
      </c>
    </row>
    <row r="32" spans="1:11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41</v>
      </c>
      <c r="H32" s="6">
        <v>0.85</v>
      </c>
      <c r="I32">
        <f t="shared" si="0"/>
        <v>0.75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77</v>
      </c>
      <c r="H33" s="6">
        <v>0.85</v>
      </c>
      <c r="I33">
        <f t="shared" si="0"/>
        <v>0.95</v>
      </c>
      <c r="J33">
        <f t="shared" si="1"/>
        <v>-9.9999999999999978E-2</v>
      </c>
      <c r="K33">
        <f t="shared" si="2"/>
        <v>9.9999999999999978E-2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26</v>
      </c>
      <c r="H34" s="6">
        <v>0.75</v>
      </c>
      <c r="I34">
        <f t="shared" si="0"/>
        <v>0.75</v>
      </c>
      <c r="J34">
        <f t="shared" si="1"/>
        <v>0</v>
      </c>
      <c r="K34">
        <f t="shared" si="2"/>
        <v>0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20</v>
      </c>
      <c r="H35" s="6">
        <v>0.85</v>
      </c>
      <c r="I35">
        <f t="shared" si="0"/>
        <v>0.65</v>
      </c>
      <c r="J35">
        <f t="shared" si="1"/>
        <v>0.19999999999999996</v>
      </c>
      <c r="K35">
        <f t="shared" si="2"/>
        <v>0.19999999999999996</v>
      </c>
    </row>
    <row r="36" spans="1:11" x14ac:dyDescent="0.2">
      <c r="G36" s="5" t="s">
        <v>11</v>
      </c>
      <c r="H36" s="6">
        <v>0.75</v>
      </c>
      <c r="I36">
        <f t="shared" si="0"/>
        <v>0.65</v>
      </c>
      <c r="J36">
        <f t="shared" si="1"/>
        <v>9.9999999999999978E-2</v>
      </c>
      <c r="K36">
        <f t="shared" si="2"/>
        <v>9.9999999999999978E-2</v>
      </c>
    </row>
    <row r="37" spans="1:11" x14ac:dyDescent="0.2">
      <c r="G37" s="5" t="s">
        <v>65</v>
      </c>
      <c r="H37" s="6">
        <v>0.85</v>
      </c>
      <c r="I37">
        <f t="shared" si="0"/>
        <v>0.85</v>
      </c>
      <c r="J37">
        <f t="shared" si="1"/>
        <v>0</v>
      </c>
      <c r="K37">
        <f t="shared" si="2"/>
        <v>0</v>
      </c>
    </row>
    <row r="38" spans="1:11" x14ac:dyDescent="0.2">
      <c r="G38" s="5" t="s">
        <v>50</v>
      </c>
      <c r="H38" s="6">
        <v>0.75</v>
      </c>
      <c r="I38">
        <f t="shared" si="0"/>
        <v>0.85</v>
      </c>
      <c r="J38">
        <f t="shared" si="1"/>
        <v>-9.9999999999999978E-2</v>
      </c>
      <c r="K38">
        <f t="shared" si="2"/>
        <v>9.9999999999999978E-2</v>
      </c>
    </row>
    <row r="39" spans="1:11" x14ac:dyDescent="0.2">
      <c r="G39" s="5" t="s">
        <v>65</v>
      </c>
      <c r="H39" s="6">
        <v>0.85</v>
      </c>
      <c r="I39">
        <f t="shared" si="0"/>
        <v>0.85</v>
      </c>
      <c r="J39">
        <f t="shared" si="1"/>
        <v>0</v>
      </c>
      <c r="K39">
        <f t="shared" si="2"/>
        <v>0</v>
      </c>
    </row>
    <row r="40" spans="1:11" x14ac:dyDescent="0.2">
      <c r="G40" s="5" t="s">
        <v>20</v>
      </c>
      <c r="H40" s="6">
        <v>0.85</v>
      </c>
      <c r="I40">
        <f t="shared" si="0"/>
        <v>0.65</v>
      </c>
      <c r="J40">
        <f t="shared" si="1"/>
        <v>0.19999999999999996</v>
      </c>
      <c r="K40">
        <f t="shared" si="2"/>
        <v>0.19999999999999996</v>
      </c>
    </row>
    <row r="41" spans="1:11" x14ac:dyDescent="0.2">
      <c r="G41" s="5" t="s">
        <v>77</v>
      </c>
      <c r="H41" s="6">
        <v>0.85</v>
      </c>
      <c r="I41">
        <f t="shared" si="0"/>
        <v>0.95</v>
      </c>
      <c r="J41">
        <f t="shared" si="1"/>
        <v>-9.9999999999999978E-2</v>
      </c>
      <c r="K41">
        <f t="shared" si="2"/>
        <v>9.9999999999999978E-2</v>
      </c>
    </row>
    <row r="42" spans="1:11" x14ac:dyDescent="0.2">
      <c r="G42" s="5" t="s">
        <v>11</v>
      </c>
      <c r="H42" s="6">
        <v>0.75</v>
      </c>
      <c r="I42">
        <f t="shared" si="0"/>
        <v>0.65</v>
      </c>
      <c r="J42">
        <f t="shared" si="1"/>
        <v>9.9999999999999978E-2</v>
      </c>
      <c r="K42">
        <f t="shared" si="2"/>
        <v>9.9999999999999978E-2</v>
      </c>
    </row>
    <row r="43" spans="1:11" x14ac:dyDescent="0.2">
      <c r="G43" s="5" t="s">
        <v>29</v>
      </c>
      <c r="H43" s="6">
        <v>0.75</v>
      </c>
      <c r="I43">
        <f t="shared" si="0"/>
        <v>0.75</v>
      </c>
      <c r="J43">
        <f t="shared" si="1"/>
        <v>0</v>
      </c>
      <c r="K43">
        <f t="shared" si="2"/>
        <v>0</v>
      </c>
    </row>
    <row r="44" spans="1:11" x14ac:dyDescent="0.2">
      <c r="G44" s="5" t="s">
        <v>77</v>
      </c>
      <c r="H44" s="6">
        <v>0.85</v>
      </c>
      <c r="I44">
        <f t="shared" si="0"/>
        <v>0.95</v>
      </c>
      <c r="J44">
        <f t="shared" si="1"/>
        <v>-9.9999999999999978E-2</v>
      </c>
      <c r="K44">
        <f t="shared" si="2"/>
        <v>9.9999999999999978E-2</v>
      </c>
    </row>
    <row r="45" spans="1:11" x14ac:dyDescent="0.2">
      <c r="G45" s="5" t="s">
        <v>26</v>
      </c>
      <c r="H45" s="6">
        <v>0.95</v>
      </c>
      <c r="I45">
        <f t="shared" si="0"/>
        <v>0.75</v>
      </c>
      <c r="J45">
        <f t="shared" si="1"/>
        <v>0.19999999999999996</v>
      </c>
      <c r="K45">
        <f t="shared" si="2"/>
        <v>0.19999999999999996</v>
      </c>
    </row>
    <row r="46" spans="1:11" x14ac:dyDescent="0.2">
      <c r="G46" s="5" t="s">
        <v>74</v>
      </c>
      <c r="H46" s="6">
        <v>0.85</v>
      </c>
      <c r="I46">
        <f t="shared" si="0"/>
        <v>0.95</v>
      </c>
      <c r="J46">
        <f t="shared" si="1"/>
        <v>-9.9999999999999978E-2</v>
      </c>
      <c r="K46">
        <f t="shared" si="2"/>
        <v>9.9999999999999978E-2</v>
      </c>
    </row>
    <row r="47" spans="1:11" x14ac:dyDescent="0.2">
      <c r="G47" s="5" t="s">
        <v>38</v>
      </c>
      <c r="H47" s="6">
        <v>0.85</v>
      </c>
      <c r="I47">
        <f t="shared" si="0"/>
        <v>0.75</v>
      </c>
      <c r="J47">
        <f t="shared" si="1"/>
        <v>9.9999999999999978E-2</v>
      </c>
      <c r="K47">
        <f t="shared" si="2"/>
        <v>9.9999999999999978E-2</v>
      </c>
    </row>
    <row r="48" spans="1:11" x14ac:dyDescent="0.2">
      <c r="G48" s="5" t="s">
        <v>56</v>
      </c>
      <c r="H48" s="6">
        <v>0.85</v>
      </c>
      <c r="I48">
        <f t="shared" si="0"/>
        <v>0.85</v>
      </c>
      <c r="J48">
        <f t="shared" si="1"/>
        <v>0</v>
      </c>
      <c r="K48">
        <f t="shared" si="2"/>
        <v>0</v>
      </c>
    </row>
    <row r="49" spans="7:11" x14ac:dyDescent="0.2">
      <c r="G49" s="5" t="s">
        <v>77</v>
      </c>
      <c r="H49" s="6">
        <v>0.85</v>
      </c>
      <c r="I49">
        <f t="shared" si="0"/>
        <v>0.95</v>
      </c>
      <c r="J49">
        <f t="shared" si="1"/>
        <v>-9.9999999999999978E-2</v>
      </c>
      <c r="K49">
        <f t="shared" si="2"/>
        <v>9.9999999999999978E-2</v>
      </c>
    </row>
    <row r="50" spans="7:11" x14ac:dyDescent="0.2">
      <c r="G50" s="5" t="s">
        <v>5</v>
      </c>
      <c r="H50" s="6">
        <v>0.95</v>
      </c>
      <c r="I50">
        <f t="shared" si="0"/>
        <v>0.65</v>
      </c>
      <c r="J50">
        <f t="shared" si="1"/>
        <v>0.29999999999999993</v>
      </c>
      <c r="K50">
        <f t="shared" si="2"/>
        <v>0.29999999999999993</v>
      </c>
    </row>
    <row r="51" spans="7:11" x14ac:dyDescent="0.2">
      <c r="G51" s="5" t="s">
        <v>50</v>
      </c>
      <c r="H51" s="6">
        <v>0.95</v>
      </c>
      <c r="I51">
        <f t="shared" si="0"/>
        <v>0.85</v>
      </c>
      <c r="J51">
        <f t="shared" si="1"/>
        <v>9.9999999999999978E-2</v>
      </c>
      <c r="K51">
        <f t="shared" si="2"/>
        <v>9.9999999999999978E-2</v>
      </c>
    </row>
    <row r="54" spans="7:11" x14ac:dyDescent="0.2">
      <c r="K54">
        <f>AVERAGE(K2:K51)/0.3</f>
        <v>0.30666666666666659</v>
      </c>
    </row>
  </sheetData>
  <autoFilter ref="H1:I51" xr:uid="{A5152363-9FBA-234B-BEE3-E07BAD6E0199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AB82-ED7B-294B-BA2D-2A323790E52F}">
  <dimension ref="A1:K54"/>
  <sheetViews>
    <sheetView topLeftCell="A20" workbookViewId="0">
      <selection activeCell="P12" sqref="P12"/>
    </sheetView>
  </sheetViews>
  <sheetFormatPr baseColWidth="10" defaultRowHeight="16" x14ac:dyDescent="0.2"/>
  <sheetData>
    <row r="1" spans="1:1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11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32</v>
      </c>
      <c r="H2" s="6">
        <v>0.75</v>
      </c>
      <c r="I2">
        <f>_xlfn.XLOOKUP(G2,$C$2:$C$35,$A$2:$A$35)</f>
        <v>0.75</v>
      </c>
      <c r="J2">
        <f>((H2-I2))</f>
        <v>0</v>
      </c>
      <c r="K2">
        <f>IF(J2&gt;0,J2,-J2)</f>
        <v>0</v>
      </c>
    </row>
    <row r="3" spans="1:11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32</v>
      </c>
      <c r="H3" s="6">
        <v>0.75</v>
      </c>
      <c r="I3">
        <f t="shared" ref="I3:I51" si="0">_xlfn.XLOOKUP(G3,$C$2:$C$35,$A$2:$A$35)</f>
        <v>0.75</v>
      </c>
      <c r="J3">
        <f t="shared" ref="J3:J51" si="1">((H3-I3))</f>
        <v>0</v>
      </c>
      <c r="K3">
        <f t="shared" ref="K3:K51" si="2">IF(J3&gt;0,J3,-J3)</f>
        <v>0</v>
      </c>
    </row>
    <row r="4" spans="1:11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32</v>
      </c>
      <c r="H4" s="6">
        <v>0.75</v>
      </c>
      <c r="I4">
        <f t="shared" si="0"/>
        <v>0.75</v>
      </c>
      <c r="J4">
        <f t="shared" si="1"/>
        <v>0</v>
      </c>
      <c r="K4">
        <f t="shared" si="2"/>
        <v>0</v>
      </c>
    </row>
    <row r="5" spans="1:11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74</v>
      </c>
      <c r="H5" s="6">
        <v>0.95</v>
      </c>
      <c r="I5">
        <f t="shared" si="0"/>
        <v>0.95</v>
      </c>
      <c r="J5">
        <f t="shared" si="1"/>
        <v>0</v>
      </c>
      <c r="K5">
        <f t="shared" si="2"/>
        <v>0</v>
      </c>
    </row>
    <row r="6" spans="1:11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0.95</v>
      </c>
      <c r="I6">
        <f t="shared" si="0"/>
        <v>0.95</v>
      </c>
      <c r="J6">
        <f t="shared" si="1"/>
        <v>0</v>
      </c>
      <c r="K6">
        <f t="shared" si="2"/>
        <v>0</v>
      </c>
    </row>
    <row r="7" spans="1:11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53</v>
      </c>
      <c r="H7" s="6">
        <v>0.85</v>
      </c>
      <c r="I7">
        <f t="shared" si="0"/>
        <v>0.85</v>
      </c>
      <c r="J7">
        <f t="shared" si="1"/>
        <v>0</v>
      </c>
      <c r="K7">
        <f t="shared" si="2"/>
        <v>0</v>
      </c>
    </row>
    <row r="8" spans="1:11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32</v>
      </c>
      <c r="H8" s="6">
        <v>0.75</v>
      </c>
      <c r="I8">
        <f t="shared" si="0"/>
        <v>0.75</v>
      </c>
      <c r="J8">
        <f t="shared" si="1"/>
        <v>0</v>
      </c>
      <c r="K8">
        <f t="shared" si="2"/>
        <v>0</v>
      </c>
    </row>
    <row r="9" spans="1:11" x14ac:dyDescent="0.2">
      <c r="G9" s="5" t="s">
        <v>53</v>
      </c>
      <c r="H9" s="6">
        <v>0.85</v>
      </c>
      <c r="I9">
        <f t="shared" si="0"/>
        <v>0.85</v>
      </c>
      <c r="J9">
        <f t="shared" si="1"/>
        <v>0</v>
      </c>
      <c r="K9">
        <f t="shared" si="2"/>
        <v>0</v>
      </c>
    </row>
    <row r="10" spans="1:11" x14ac:dyDescent="0.2">
      <c r="G10" s="5" t="s">
        <v>11</v>
      </c>
      <c r="H10" s="6">
        <v>0.65</v>
      </c>
      <c r="I10">
        <f t="shared" si="0"/>
        <v>0.65</v>
      </c>
      <c r="J10">
        <f t="shared" si="1"/>
        <v>0</v>
      </c>
      <c r="K10">
        <f t="shared" si="2"/>
        <v>0</v>
      </c>
    </row>
    <row r="11" spans="1:11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32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</row>
    <row r="12" spans="1:11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53</v>
      </c>
      <c r="H12" s="6">
        <v>0.85</v>
      </c>
      <c r="I12">
        <f t="shared" si="0"/>
        <v>0.85</v>
      </c>
      <c r="J12">
        <f t="shared" si="1"/>
        <v>0</v>
      </c>
      <c r="K12">
        <f t="shared" si="2"/>
        <v>0</v>
      </c>
    </row>
    <row r="13" spans="1:11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32</v>
      </c>
      <c r="H13" s="6">
        <v>0.75</v>
      </c>
      <c r="I13">
        <f t="shared" si="0"/>
        <v>0.75</v>
      </c>
      <c r="J13">
        <f t="shared" si="1"/>
        <v>0</v>
      </c>
      <c r="K13">
        <f t="shared" si="2"/>
        <v>0</v>
      </c>
    </row>
    <row r="14" spans="1:11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11</v>
      </c>
      <c r="H14" s="6">
        <v>0.65</v>
      </c>
      <c r="I14">
        <f t="shared" si="0"/>
        <v>0.65</v>
      </c>
      <c r="J14">
        <f t="shared" si="1"/>
        <v>0</v>
      </c>
      <c r="K14">
        <f t="shared" si="2"/>
        <v>0</v>
      </c>
    </row>
    <row r="15" spans="1:11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53</v>
      </c>
      <c r="H15" s="6">
        <v>0.85</v>
      </c>
      <c r="I15">
        <f t="shared" si="0"/>
        <v>0.85</v>
      </c>
      <c r="J15">
        <f t="shared" si="1"/>
        <v>0</v>
      </c>
      <c r="K15">
        <f t="shared" si="2"/>
        <v>0</v>
      </c>
    </row>
    <row r="16" spans="1:11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74</v>
      </c>
      <c r="H16" s="6">
        <v>0.95</v>
      </c>
      <c r="I16">
        <f t="shared" si="0"/>
        <v>0.95</v>
      </c>
      <c r="J16">
        <f t="shared" si="1"/>
        <v>0</v>
      </c>
      <c r="K16">
        <f t="shared" si="2"/>
        <v>0</v>
      </c>
    </row>
    <row r="17" spans="1:11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53</v>
      </c>
      <c r="H17" s="6">
        <v>0.85</v>
      </c>
      <c r="I17">
        <f t="shared" si="0"/>
        <v>0.85</v>
      </c>
      <c r="J17">
        <f t="shared" si="1"/>
        <v>0</v>
      </c>
      <c r="K17">
        <f t="shared" si="2"/>
        <v>0</v>
      </c>
    </row>
    <row r="18" spans="1:11" x14ac:dyDescent="0.2">
      <c r="G18" s="5" t="s">
        <v>32</v>
      </c>
      <c r="H18" s="6">
        <v>0.75</v>
      </c>
      <c r="I18">
        <f t="shared" si="0"/>
        <v>0.75</v>
      </c>
      <c r="J18">
        <f t="shared" si="1"/>
        <v>0</v>
      </c>
      <c r="K18">
        <f t="shared" si="2"/>
        <v>0</v>
      </c>
    </row>
    <row r="19" spans="1:11" x14ac:dyDescent="0.2">
      <c r="G19" s="5" t="s">
        <v>11</v>
      </c>
      <c r="H19" s="6">
        <v>0.65</v>
      </c>
      <c r="I19">
        <f t="shared" si="0"/>
        <v>0.65</v>
      </c>
      <c r="J19">
        <f t="shared" si="1"/>
        <v>0</v>
      </c>
      <c r="K19">
        <f t="shared" si="2"/>
        <v>0</v>
      </c>
    </row>
    <row r="20" spans="1:11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53</v>
      </c>
      <c r="H20" s="6">
        <v>0.85</v>
      </c>
      <c r="I20">
        <f t="shared" si="0"/>
        <v>0.85</v>
      </c>
      <c r="J20">
        <f t="shared" si="1"/>
        <v>0</v>
      </c>
      <c r="K20">
        <f t="shared" si="2"/>
        <v>0</v>
      </c>
    </row>
    <row r="21" spans="1:11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11</v>
      </c>
      <c r="H21" s="6">
        <v>0.65</v>
      </c>
      <c r="I21">
        <f t="shared" si="0"/>
        <v>0.65</v>
      </c>
      <c r="J21">
        <f t="shared" si="1"/>
        <v>0</v>
      </c>
      <c r="K21">
        <f t="shared" si="2"/>
        <v>0</v>
      </c>
    </row>
    <row r="22" spans="1:11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32</v>
      </c>
      <c r="H22" s="6">
        <v>0.75</v>
      </c>
      <c r="I22">
        <f t="shared" si="0"/>
        <v>0.75</v>
      </c>
      <c r="J22">
        <f t="shared" si="1"/>
        <v>0</v>
      </c>
      <c r="K22">
        <f t="shared" si="2"/>
        <v>0</v>
      </c>
    </row>
    <row r="23" spans="1:11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53</v>
      </c>
      <c r="H23" s="6">
        <v>0.85</v>
      </c>
      <c r="I23">
        <f t="shared" si="0"/>
        <v>0.85</v>
      </c>
      <c r="J23">
        <f t="shared" si="1"/>
        <v>0</v>
      </c>
      <c r="K23">
        <f t="shared" si="2"/>
        <v>0</v>
      </c>
    </row>
    <row r="24" spans="1:11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11</v>
      </c>
      <c r="H24" s="6">
        <v>0.65</v>
      </c>
      <c r="I24">
        <f t="shared" si="0"/>
        <v>0.65</v>
      </c>
      <c r="J24">
        <f t="shared" si="1"/>
        <v>0</v>
      </c>
      <c r="K24">
        <f t="shared" si="2"/>
        <v>0</v>
      </c>
    </row>
    <row r="25" spans="1:11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32</v>
      </c>
      <c r="H25" s="6">
        <v>0.75</v>
      </c>
      <c r="I25">
        <f t="shared" si="0"/>
        <v>0.75</v>
      </c>
      <c r="J25">
        <f t="shared" si="1"/>
        <v>0</v>
      </c>
      <c r="K25">
        <f t="shared" si="2"/>
        <v>0</v>
      </c>
    </row>
    <row r="26" spans="1:11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11</v>
      </c>
      <c r="H26" s="6">
        <v>0.65</v>
      </c>
      <c r="I26">
        <f t="shared" si="0"/>
        <v>0.65</v>
      </c>
      <c r="J26">
        <f t="shared" si="1"/>
        <v>0</v>
      </c>
      <c r="K26">
        <f t="shared" si="2"/>
        <v>0</v>
      </c>
    </row>
    <row r="27" spans="1:11" x14ac:dyDescent="0.2">
      <c r="G27" s="5" t="s">
        <v>74</v>
      </c>
      <c r="H27" s="6">
        <v>0.95</v>
      </c>
      <c r="I27">
        <f t="shared" si="0"/>
        <v>0.95</v>
      </c>
      <c r="J27">
        <f t="shared" si="1"/>
        <v>0</v>
      </c>
      <c r="K27">
        <f t="shared" si="2"/>
        <v>0</v>
      </c>
    </row>
    <row r="28" spans="1:11" x14ac:dyDescent="0.2">
      <c r="G28" s="5" t="s">
        <v>53</v>
      </c>
      <c r="H28" s="6">
        <v>0.85</v>
      </c>
      <c r="I28">
        <f t="shared" si="0"/>
        <v>0.85</v>
      </c>
      <c r="J28">
        <f t="shared" si="1"/>
        <v>0</v>
      </c>
      <c r="K28">
        <f t="shared" si="2"/>
        <v>0</v>
      </c>
    </row>
    <row r="29" spans="1:11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11</v>
      </c>
      <c r="H29" s="6">
        <v>0.65</v>
      </c>
      <c r="I29">
        <f t="shared" si="0"/>
        <v>0.65</v>
      </c>
      <c r="J29">
        <f t="shared" si="1"/>
        <v>0</v>
      </c>
      <c r="K29">
        <f t="shared" si="2"/>
        <v>0</v>
      </c>
    </row>
    <row r="30" spans="1:11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11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</row>
    <row r="31" spans="1:11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32</v>
      </c>
      <c r="H31" s="6">
        <v>0.75</v>
      </c>
      <c r="I31">
        <f t="shared" si="0"/>
        <v>0.75</v>
      </c>
      <c r="J31">
        <f t="shared" si="1"/>
        <v>0</v>
      </c>
      <c r="K31">
        <f t="shared" si="2"/>
        <v>0</v>
      </c>
    </row>
    <row r="32" spans="1:11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53</v>
      </c>
      <c r="H32" s="6">
        <v>0.95</v>
      </c>
      <c r="I32">
        <f t="shared" si="0"/>
        <v>0.85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74</v>
      </c>
      <c r="H33" s="6">
        <v>0.95</v>
      </c>
      <c r="I33">
        <f t="shared" si="0"/>
        <v>0.95</v>
      </c>
      <c r="J33">
        <f t="shared" si="1"/>
        <v>0</v>
      </c>
      <c r="K33">
        <f t="shared" si="2"/>
        <v>0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0.65</v>
      </c>
      <c r="I34">
        <f t="shared" si="0"/>
        <v>0.65</v>
      </c>
      <c r="J34">
        <f t="shared" si="1"/>
        <v>0</v>
      </c>
      <c r="K34">
        <f t="shared" si="2"/>
        <v>0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74</v>
      </c>
      <c r="H35" s="6">
        <v>0.95</v>
      </c>
      <c r="I35">
        <f t="shared" si="0"/>
        <v>0.95</v>
      </c>
      <c r="J35">
        <f t="shared" si="1"/>
        <v>0</v>
      </c>
      <c r="K35">
        <f t="shared" si="2"/>
        <v>0</v>
      </c>
    </row>
    <row r="36" spans="1:11" x14ac:dyDescent="0.2">
      <c r="G36" s="5" t="s">
        <v>74</v>
      </c>
      <c r="H36" s="6">
        <v>0.95</v>
      </c>
      <c r="I36">
        <f t="shared" si="0"/>
        <v>0.95</v>
      </c>
      <c r="J36">
        <f t="shared" si="1"/>
        <v>0</v>
      </c>
      <c r="K36">
        <f t="shared" si="2"/>
        <v>0</v>
      </c>
    </row>
    <row r="37" spans="1:11" x14ac:dyDescent="0.2">
      <c r="G37" s="5" t="s">
        <v>74</v>
      </c>
      <c r="H37" s="6">
        <v>0.95</v>
      </c>
      <c r="I37">
        <f t="shared" si="0"/>
        <v>0.95</v>
      </c>
      <c r="J37">
        <f t="shared" si="1"/>
        <v>0</v>
      </c>
      <c r="K37">
        <f t="shared" si="2"/>
        <v>0</v>
      </c>
    </row>
    <row r="38" spans="1:11" x14ac:dyDescent="0.2">
      <c r="G38" s="5" t="s">
        <v>32</v>
      </c>
      <c r="H38" s="6">
        <v>0.75</v>
      </c>
      <c r="I38">
        <f t="shared" si="0"/>
        <v>0.75</v>
      </c>
      <c r="J38">
        <f t="shared" si="1"/>
        <v>0</v>
      </c>
      <c r="K38">
        <f t="shared" si="2"/>
        <v>0</v>
      </c>
    </row>
    <row r="39" spans="1:11" x14ac:dyDescent="0.2">
      <c r="G39" s="5" t="s">
        <v>74</v>
      </c>
      <c r="H39" s="6">
        <v>0.95</v>
      </c>
      <c r="I39">
        <f t="shared" si="0"/>
        <v>0.95</v>
      </c>
      <c r="J39">
        <f t="shared" si="1"/>
        <v>0</v>
      </c>
      <c r="K39">
        <f t="shared" si="2"/>
        <v>0</v>
      </c>
    </row>
    <row r="40" spans="1:11" x14ac:dyDescent="0.2">
      <c r="G40" s="5" t="s">
        <v>11</v>
      </c>
      <c r="H40" s="6">
        <v>0.65</v>
      </c>
      <c r="I40">
        <f t="shared" si="0"/>
        <v>0.65</v>
      </c>
      <c r="J40">
        <f t="shared" si="1"/>
        <v>0</v>
      </c>
      <c r="K40">
        <f t="shared" si="2"/>
        <v>0</v>
      </c>
    </row>
    <row r="41" spans="1:11" x14ac:dyDescent="0.2">
      <c r="G41" s="5" t="s">
        <v>11</v>
      </c>
      <c r="H41" s="6">
        <v>0.65</v>
      </c>
      <c r="I41">
        <f t="shared" si="0"/>
        <v>0.65</v>
      </c>
      <c r="J41">
        <f t="shared" si="1"/>
        <v>0</v>
      </c>
      <c r="K41">
        <f t="shared" si="2"/>
        <v>0</v>
      </c>
    </row>
    <row r="42" spans="1:11" x14ac:dyDescent="0.2">
      <c r="G42" s="5" t="s">
        <v>74</v>
      </c>
      <c r="H42" s="6">
        <v>0.95</v>
      </c>
      <c r="I42">
        <f t="shared" si="0"/>
        <v>0.95</v>
      </c>
      <c r="J42">
        <f t="shared" si="1"/>
        <v>0</v>
      </c>
      <c r="K42">
        <f t="shared" si="2"/>
        <v>0</v>
      </c>
    </row>
    <row r="43" spans="1:11" x14ac:dyDescent="0.2">
      <c r="G43" s="5" t="s">
        <v>11</v>
      </c>
      <c r="H43" s="6">
        <v>0.65</v>
      </c>
      <c r="I43">
        <f t="shared" si="0"/>
        <v>0.65</v>
      </c>
      <c r="J43">
        <f t="shared" si="1"/>
        <v>0</v>
      </c>
      <c r="K43">
        <f t="shared" si="2"/>
        <v>0</v>
      </c>
    </row>
    <row r="44" spans="1:11" x14ac:dyDescent="0.2">
      <c r="G44" s="5" t="s">
        <v>74</v>
      </c>
      <c r="H44" s="6">
        <v>0.95</v>
      </c>
      <c r="I44">
        <f t="shared" si="0"/>
        <v>0.95</v>
      </c>
      <c r="J44">
        <f t="shared" si="1"/>
        <v>0</v>
      </c>
      <c r="K44">
        <f t="shared" si="2"/>
        <v>0</v>
      </c>
    </row>
    <row r="45" spans="1:11" x14ac:dyDescent="0.2">
      <c r="G45" s="5" t="s">
        <v>74</v>
      </c>
      <c r="H45" s="6">
        <v>0.95</v>
      </c>
      <c r="I45">
        <f t="shared" si="0"/>
        <v>0.95</v>
      </c>
      <c r="J45">
        <f t="shared" si="1"/>
        <v>0</v>
      </c>
      <c r="K45">
        <f t="shared" si="2"/>
        <v>0</v>
      </c>
    </row>
    <row r="46" spans="1:11" x14ac:dyDescent="0.2">
      <c r="G46" s="5" t="s">
        <v>11</v>
      </c>
      <c r="H46" s="6">
        <v>0.65</v>
      </c>
      <c r="I46">
        <f t="shared" si="0"/>
        <v>0.65</v>
      </c>
      <c r="J46">
        <f t="shared" si="1"/>
        <v>0</v>
      </c>
      <c r="K46">
        <f t="shared" si="2"/>
        <v>0</v>
      </c>
    </row>
    <row r="47" spans="1:11" x14ac:dyDescent="0.2">
      <c r="G47" s="5" t="s">
        <v>53</v>
      </c>
      <c r="H47" s="6">
        <v>0.85</v>
      </c>
      <c r="I47">
        <f t="shared" si="0"/>
        <v>0.85</v>
      </c>
      <c r="J47">
        <f t="shared" si="1"/>
        <v>0</v>
      </c>
      <c r="K47">
        <f t="shared" si="2"/>
        <v>0</v>
      </c>
    </row>
    <row r="48" spans="1:11" x14ac:dyDescent="0.2">
      <c r="G48" s="5" t="s">
        <v>32</v>
      </c>
      <c r="H48" s="6">
        <v>0.75</v>
      </c>
      <c r="I48">
        <f t="shared" si="0"/>
        <v>0.75</v>
      </c>
      <c r="J48">
        <f t="shared" si="1"/>
        <v>0</v>
      </c>
      <c r="K48">
        <f t="shared" si="2"/>
        <v>0</v>
      </c>
    </row>
    <row r="49" spans="7:11" x14ac:dyDescent="0.2">
      <c r="G49" s="5" t="s">
        <v>32</v>
      </c>
      <c r="H49" s="6">
        <v>0.75</v>
      </c>
      <c r="I49">
        <f t="shared" si="0"/>
        <v>0.75</v>
      </c>
      <c r="J49">
        <f t="shared" si="1"/>
        <v>0</v>
      </c>
      <c r="K49">
        <f t="shared" si="2"/>
        <v>0</v>
      </c>
    </row>
    <row r="50" spans="7:11" x14ac:dyDescent="0.2">
      <c r="G50" s="5" t="s">
        <v>74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5" t="s">
        <v>74</v>
      </c>
      <c r="H51" s="6">
        <v>0.95</v>
      </c>
      <c r="I51">
        <f t="shared" si="0"/>
        <v>0.95</v>
      </c>
      <c r="J51">
        <f t="shared" si="1"/>
        <v>0</v>
      </c>
      <c r="K51">
        <f t="shared" si="2"/>
        <v>0</v>
      </c>
    </row>
    <row r="54" spans="7:11" x14ac:dyDescent="0.2">
      <c r="K54">
        <f>AVERAGE(K2:K51)/0.3</f>
        <v>6.6666666666666654E-3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ADA-60C1-514E-BBB4-594CD1A81C59}">
  <dimension ref="A1:V54"/>
  <sheetViews>
    <sheetView zoomScale="75" workbookViewId="0">
      <selection activeCell="V14" sqref="V14"/>
    </sheetView>
  </sheetViews>
  <sheetFormatPr baseColWidth="10" defaultRowHeight="16" x14ac:dyDescent="0.2"/>
  <cols>
    <col min="17" max="17" width="10.5" bestFit="1" customWidth="1"/>
    <col min="18" max="18" width="8.33203125" bestFit="1" customWidth="1"/>
    <col min="19" max="20" width="8" bestFit="1" customWidth="1"/>
    <col min="21" max="21" width="9" bestFit="1" customWidth="1"/>
    <col min="22" max="22" width="10.5" bestFit="1" customWidth="1"/>
  </cols>
  <sheetData>
    <row r="1" spans="1:22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22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83</v>
      </c>
      <c r="H2" s="6">
        <v>0.95</v>
      </c>
      <c r="I2">
        <f>_xlfn.XLOOKUP(G2,$C$2:$C$35,$A$2:$A$35)</f>
        <v>0.95</v>
      </c>
      <c r="J2">
        <f>((H2-I2))</f>
        <v>0</v>
      </c>
      <c r="K2">
        <f>IF(J2&gt;0,J2,-J2)</f>
        <v>0</v>
      </c>
    </row>
    <row r="3" spans="1:22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11</v>
      </c>
      <c r="H3" s="6">
        <v>0.65</v>
      </c>
      <c r="I3">
        <f t="shared" ref="I3:I51" si="0">_xlfn.XLOOKUP(G3,$C$2:$C$35,$A$2:$A$35)</f>
        <v>0.65</v>
      </c>
      <c r="J3">
        <f t="shared" ref="J3:J51" si="1">((H3-I3))</f>
        <v>0</v>
      </c>
      <c r="K3">
        <f t="shared" ref="K3:K51" si="2">IF(J3&gt;0,J3,-J3)</f>
        <v>0</v>
      </c>
    </row>
    <row r="4" spans="1:22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41</v>
      </c>
      <c r="H4" s="6">
        <v>0.75</v>
      </c>
      <c r="I4">
        <f t="shared" si="0"/>
        <v>0.75</v>
      </c>
      <c r="J4">
        <f t="shared" si="1"/>
        <v>0</v>
      </c>
      <c r="K4">
        <f t="shared" si="2"/>
        <v>0</v>
      </c>
    </row>
    <row r="5" spans="1:22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0.85</v>
      </c>
      <c r="I5">
        <f t="shared" si="0"/>
        <v>0.85</v>
      </c>
      <c r="J5">
        <f t="shared" si="1"/>
        <v>0</v>
      </c>
      <c r="K5">
        <f t="shared" si="2"/>
        <v>0</v>
      </c>
    </row>
    <row r="6" spans="1:22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0.95</v>
      </c>
      <c r="I6">
        <f t="shared" si="0"/>
        <v>0.95</v>
      </c>
      <c r="J6">
        <f t="shared" si="1"/>
        <v>0</v>
      </c>
      <c r="K6">
        <f t="shared" si="2"/>
        <v>0</v>
      </c>
      <c r="Q6" s="7" t="s">
        <v>96</v>
      </c>
      <c r="R6" s="7" t="s">
        <v>94</v>
      </c>
    </row>
    <row r="7" spans="1:22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41</v>
      </c>
      <c r="H7" s="6">
        <v>0.85</v>
      </c>
      <c r="I7">
        <f t="shared" si="0"/>
        <v>0.75</v>
      </c>
      <c r="J7">
        <f t="shared" si="1"/>
        <v>9.9999999999999978E-2</v>
      </c>
      <c r="K7">
        <f t="shared" si="2"/>
        <v>9.9999999999999978E-2</v>
      </c>
      <c r="Q7" s="7" t="s">
        <v>93</v>
      </c>
      <c r="R7">
        <v>0.65</v>
      </c>
      <c r="S7">
        <v>0.75</v>
      </c>
      <c r="T7">
        <v>0.85</v>
      </c>
      <c r="U7">
        <v>0.95</v>
      </c>
      <c r="V7" t="s">
        <v>92</v>
      </c>
    </row>
    <row r="8" spans="1:22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62</v>
      </c>
      <c r="H8" s="6">
        <v>0.85</v>
      </c>
      <c r="I8">
        <f t="shared" si="0"/>
        <v>0.85</v>
      </c>
      <c r="J8">
        <f t="shared" si="1"/>
        <v>0</v>
      </c>
      <c r="K8">
        <f t="shared" si="2"/>
        <v>0</v>
      </c>
      <c r="Q8" s="8">
        <v>0.65</v>
      </c>
      <c r="R8" s="15">
        <v>1</v>
      </c>
      <c r="S8" s="9">
        <v>0</v>
      </c>
      <c r="T8" s="9">
        <v>0</v>
      </c>
      <c r="U8" s="9">
        <v>0</v>
      </c>
      <c r="V8" s="9">
        <v>1</v>
      </c>
    </row>
    <row r="9" spans="1:22" x14ac:dyDescent="0.2">
      <c r="G9" s="5" t="s">
        <v>74</v>
      </c>
      <c r="H9" s="6">
        <v>0.95</v>
      </c>
      <c r="I9">
        <f t="shared" si="0"/>
        <v>0.95</v>
      </c>
      <c r="J9">
        <f t="shared" si="1"/>
        <v>0</v>
      </c>
      <c r="K9">
        <f t="shared" si="2"/>
        <v>0</v>
      </c>
      <c r="Q9" s="8">
        <v>0.75</v>
      </c>
      <c r="R9" s="9">
        <v>0</v>
      </c>
      <c r="S9" s="14">
        <v>0.77777777777777779</v>
      </c>
      <c r="T9" s="16">
        <v>0.22222222222222221</v>
      </c>
      <c r="U9" s="9">
        <v>0</v>
      </c>
      <c r="V9" s="9">
        <v>1</v>
      </c>
    </row>
    <row r="10" spans="1:22" x14ac:dyDescent="0.2">
      <c r="G10" s="5" t="s">
        <v>83</v>
      </c>
      <c r="H10" s="6">
        <v>0.95</v>
      </c>
      <c r="I10">
        <f t="shared" si="0"/>
        <v>0.95</v>
      </c>
      <c r="J10">
        <f t="shared" si="1"/>
        <v>0</v>
      </c>
      <c r="K10">
        <f t="shared" si="2"/>
        <v>0</v>
      </c>
      <c r="Q10" s="8">
        <v>0.85</v>
      </c>
      <c r="R10" s="17">
        <v>6.666666666666668E-2</v>
      </c>
      <c r="S10" s="16">
        <v>6.666666666666668E-2</v>
      </c>
      <c r="T10" s="14">
        <v>0.66666666666666674</v>
      </c>
      <c r="U10" s="16">
        <v>0.20000000000000004</v>
      </c>
      <c r="V10" s="9">
        <v>1</v>
      </c>
    </row>
    <row r="11" spans="1:22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32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  <c r="Q11" s="8">
        <v>0.95</v>
      </c>
      <c r="R11" s="9">
        <v>0</v>
      </c>
      <c r="S11" s="9">
        <v>0</v>
      </c>
      <c r="T11" s="9">
        <v>0</v>
      </c>
      <c r="U11" s="14">
        <v>1</v>
      </c>
      <c r="V11" s="9">
        <v>1</v>
      </c>
    </row>
    <row r="12" spans="1:22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11</v>
      </c>
      <c r="H12" s="6">
        <v>0.65</v>
      </c>
      <c r="I12">
        <f t="shared" si="0"/>
        <v>0.65</v>
      </c>
      <c r="J12">
        <f t="shared" si="1"/>
        <v>0</v>
      </c>
      <c r="K12">
        <f t="shared" si="2"/>
        <v>0</v>
      </c>
      <c r="Q12" s="8" t="s">
        <v>92</v>
      </c>
      <c r="R12" s="9">
        <v>0.2130541871921183</v>
      </c>
      <c r="S12" s="9">
        <v>0.15024630541871922</v>
      </c>
      <c r="T12" s="9">
        <v>0.24630541871921183</v>
      </c>
      <c r="U12" s="9">
        <v>0.39039408866995073</v>
      </c>
      <c r="V12" s="9">
        <v>1</v>
      </c>
    </row>
    <row r="13" spans="1:22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74</v>
      </c>
      <c r="H13" s="6">
        <v>0.95</v>
      </c>
      <c r="I13">
        <f t="shared" si="0"/>
        <v>0.95</v>
      </c>
      <c r="J13">
        <f t="shared" si="1"/>
        <v>0</v>
      </c>
      <c r="K13">
        <f t="shared" si="2"/>
        <v>0</v>
      </c>
    </row>
    <row r="14" spans="1:22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0.85</v>
      </c>
      <c r="I14">
        <f t="shared" si="0"/>
        <v>0.85</v>
      </c>
      <c r="J14">
        <f t="shared" si="1"/>
        <v>0</v>
      </c>
      <c r="K14">
        <f t="shared" si="2"/>
        <v>0</v>
      </c>
    </row>
    <row r="15" spans="1:22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74</v>
      </c>
      <c r="H15" s="6">
        <v>0.95</v>
      </c>
      <c r="I15">
        <f t="shared" si="0"/>
        <v>0.95</v>
      </c>
      <c r="J15">
        <f t="shared" si="1"/>
        <v>0</v>
      </c>
      <c r="K15">
        <f t="shared" si="2"/>
        <v>0</v>
      </c>
    </row>
    <row r="16" spans="1:22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53</v>
      </c>
      <c r="H16" s="6">
        <v>0.85</v>
      </c>
      <c r="I16">
        <f t="shared" si="0"/>
        <v>0.85</v>
      </c>
      <c r="J16">
        <f t="shared" si="1"/>
        <v>0</v>
      </c>
      <c r="K16">
        <f t="shared" si="2"/>
        <v>0</v>
      </c>
    </row>
    <row r="17" spans="1:18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41</v>
      </c>
      <c r="H17" s="6">
        <v>0.75</v>
      </c>
      <c r="I17">
        <f t="shared" si="0"/>
        <v>0.75</v>
      </c>
      <c r="J17">
        <f t="shared" si="1"/>
        <v>0</v>
      </c>
      <c r="K17">
        <f t="shared" si="2"/>
        <v>0</v>
      </c>
    </row>
    <row r="18" spans="1:18" x14ac:dyDescent="0.2">
      <c r="G18" s="5" t="s">
        <v>11</v>
      </c>
      <c r="H18" s="6">
        <v>0.65</v>
      </c>
      <c r="I18">
        <f t="shared" si="0"/>
        <v>0.65</v>
      </c>
      <c r="J18">
        <f t="shared" si="1"/>
        <v>0</v>
      </c>
      <c r="K18">
        <f t="shared" si="2"/>
        <v>0</v>
      </c>
    </row>
    <row r="19" spans="1:18" x14ac:dyDescent="0.2">
      <c r="G19" s="5" t="s">
        <v>74</v>
      </c>
      <c r="H19" s="6">
        <v>0.95</v>
      </c>
      <c r="I19">
        <f t="shared" si="0"/>
        <v>0.95</v>
      </c>
      <c r="J19">
        <f t="shared" si="1"/>
        <v>0</v>
      </c>
      <c r="K19">
        <f t="shared" si="2"/>
        <v>0</v>
      </c>
    </row>
    <row r="20" spans="1:18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0.75</v>
      </c>
      <c r="I20">
        <f t="shared" si="0"/>
        <v>0.75</v>
      </c>
      <c r="J20">
        <f t="shared" si="1"/>
        <v>0</v>
      </c>
      <c r="K20">
        <f t="shared" si="2"/>
        <v>0</v>
      </c>
    </row>
    <row r="21" spans="1:18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41</v>
      </c>
      <c r="H21" s="6">
        <v>0.75</v>
      </c>
      <c r="I21">
        <f t="shared" si="0"/>
        <v>0.75</v>
      </c>
      <c r="J21">
        <f t="shared" si="1"/>
        <v>0</v>
      </c>
      <c r="K21">
        <f t="shared" si="2"/>
        <v>0</v>
      </c>
    </row>
    <row r="22" spans="1:18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11</v>
      </c>
      <c r="H22" s="6">
        <v>0.65</v>
      </c>
      <c r="I22">
        <f t="shared" si="0"/>
        <v>0.65</v>
      </c>
      <c r="J22">
        <f t="shared" si="1"/>
        <v>0</v>
      </c>
      <c r="K22">
        <f t="shared" si="2"/>
        <v>0</v>
      </c>
    </row>
    <row r="23" spans="1:18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53</v>
      </c>
      <c r="H23" s="6">
        <v>0.85</v>
      </c>
      <c r="I23">
        <f t="shared" si="0"/>
        <v>0.85</v>
      </c>
      <c r="J23">
        <f t="shared" si="1"/>
        <v>0</v>
      </c>
      <c r="K23">
        <f t="shared" si="2"/>
        <v>0</v>
      </c>
      <c r="R23" s="9"/>
    </row>
    <row r="24" spans="1:18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32</v>
      </c>
      <c r="H24" s="6">
        <v>0.75</v>
      </c>
      <c r="I24">
        <f t="shared" si="0"/>
        <v>0.75</v>
      </c>
      <c r="J24">
        <f t="shared" si="1"/>
        <v>0</v>
      </c>
      <c r="K24">
        <f t="shared" si="2"/>
        <v>0</v>
      </c>
    </row>
    <row r="25" spans="1:18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11</v>
      </c>
      <c r="H25" s="6">
        <v>0.65</v>
      </c>
      <c r="I25">
        <f t="shared" si="0"/>
        <v>0.65</v>
      </c>
      <c r="J25">
        <f t="shared" si="1"/>
        <v>0</v>
      </c>
      <c r="K25">
        <f t="shared" si="2"/>
        <v>0</v>
      </c>
    </row>
    <row r="26" spans="1:18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32</v>
      </c>
      <c r="H26" s="6">
        <v>0.75</v>
      </c>
      <c r="I26">
        <f t="shared" si="0"/>
        <v>0.75</v>
      </c>
      <c r="J26">
        <f t="shared" si="1"/>
        <v>0</v>
      </c>
      <c r="K26">
        <f t="shared" si="2"/>
        <v>0</v>
      </c>
    </row>
    <row r="27" spans="1:18" x14ac:dyDescent="0.2">
      <c r="G27" s="5" t="s">
        <v>53</v>
      </c>
      <c r="H27" s="6">
        <v>0.85</v>
      </c>
      <c r="I27">
        <f t="shared" si="0"/>
        <v>0.85</v>
      </c>
      <c r="J27">
        <f t="shared" si="1"/>
        <v>0</v>
      </c>
      <c r="K27">
        <f t="shared" si="2"/>
        <v>0</v>
      </c>
    </row>
    <row r="28" spans="1:18" x14ac:dyDescent="0.2">
      <c r="G28" s="5" t="s">
        <v>41</v>
      </c>
      <c r="H28" s="6">
        <v>0.85</v>
      </c>
      <c r="I28">
        <f t="shared" si="0"/>
        <v>0.75</v>
      </c>
      <c r="J28">
        <f t="shared" si="1"/>
        <v>9.9999999999999978E-2</v>
      </c>
      <c r="K28">
        <f t="shared" si="2"/>
        <v>9.9999999999999978E-2</v>
      </c>
    </row>
    <row r="29" spans="1:18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53</v>
      </c>
      <c r="H29" s="6">
        <v>0.95</v>
      </c>
      <c r="I29">
        <f t="shared" si="0"/>
        <v>0.85</v>
      </c>
      <c r="J29">
        <f t="shared" si="1"/>
        <v>9.9999999999999978E-2</v>
      </c>
      <c r="K29">
        <f t="shared" si="2"/>
        <v>9.9999999999999978E-2</v>
      </c>
    </row>
    <row r="30" spans="1:18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11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</row>
    <row r="31" spans="1:18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11</v>
      </c>
      <c r="H31" s="6">
        <v>0.65</v>
      </c>
      <c r="I31">
        <f t="shared" si="0"/>
        <v>0.65</v>
      </c>
      <c r="J31">
        <f t="shared" si="1"/>
        <v>0</v>
      </c>
      <c r="K31">
        <f t="shared" si="2"/>
        <v>0</v>
      </c>
    </row>
    <row r="32" spans="1:18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62</v>
      </c>
      <c r="H32" s="6">
        <v>0.95</v>
      </c>
      <c r="I32">
        <f t="shared" si="0"/>
        <v>0.85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20</v>
      </c>
      <c r="H33" s="6">
        <v>0.65</v>
      </c>
      <c r="I33">
        <f t="shared" si="0"/>
        <v>0.65</v>
      </c>
      <c r="J33">
        <f t="shared" si="1"/>
        <v>0</v>
      </c>
      <c r="K33">
        <f t="shared" si="2"/>
        <v>0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0.65</v>
      </c>
      <c r="I34">
        <f t="shared" si="0"/>
        <v>0.65</v>
      </c>
      <c r="J34">
        <f t="shared" si="1"/>
        <v>0</v>
      </c>
      <c r="K34">
        <f t="shared" si="2"/>
        <v>0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62</v>
      </c>
      <c r="H35" s="6">
        <v>0.95</v>
      </c>
      <c r="I35">
        <f t="shared" si="0"/>
        <v>0.85</v>
      </c>
      <c r="J35">
        <f t="shared" si="1"/>
        <v>9.9999999999999978E-2</v>
      </c>
      <c r="K35">
        <f t="shared" si="2"/>
        <v>9.9999999999999978E-2</v>
      </c>
    </row>
    <row r="36" spans="1:11" x14ac:dyDescent="0.2">
      <c r="G36" s="5" t="s">
        <v>62</v>
      </c>
      <c r="H36" s="6">
        <v>0.85</v>
      </c>
      <c r="I36">
        <f t="shared" si="0"/>
        <v>0.85</v>
      </c>
      <c r="J36">
        <f t="shared" si="1"/>
        <v>0</v>
      </c>
      <c r="K36">
        <f t="shared" si="2"/>
        <v>0</v>
      </c>
    </row>
    <row r="37" spans="1:11" x14ac:dyDescent="0.2">
      <c r="G37" s="5" t="s">
        <v>74</v>
      </c>
      <c r="H37" s="6">
        <v>0.95</v>
      </c>
      <c r="I37">
        <f t="shared" si="0"/>
        <v>0.95</v>
      </c>
      <c r="J37">
        <f t="shared" si="1"/>
        <v>0</v>
      </c>
      <c r="K37">
        <f t="shared" si="2"/>
        <v>0</v>
      </c>
    </row>
    <row r="38" spans="1:11" x14ac:dyDescent="0.2">
      <c r="G38" s="5" t="s">
        <v>20</v>
      </c>
      <c r="H38" s="6">
        <v>0.65</v>
      </c>
      <c r="I38">
        <f t="shared" si="0"/>
        <v>0.65</v>
      </c>
      <c r="J38">
        <f t="shared" si="1"/>
        <v>0</v>
      </c>
      <c r="K38">
        <f t="shared" si="2"/>
        <v>0</v>
      </c>
    </row>
    <row r="39" spans="1:11" x14ac:dyDescent="0.2">
      <c r="G39" s="5" t="s">
        <v>53</v>
      </c>
      <c r="H39" s="6">
        <v>0.85</v>
      </c>
      <c r="I39">
        <f t="shared" si="0"/>
        <v>0.85</v>
      </c>
      <c r="J39">
        <f t="shared" si="1"/>
        <v>0</v>
      </c>
      <c r="K39">
        <f t="shared" si="2"/>
        <v>0</v>
      </c>
    </row>
    <row r="40" spans="1:11" x14ac:dyDescent="0.2">
      <c r="G40" s="5" t="s">
        <v>74</v>
      </c>
      <c r="H40" s="6">
        <v>0.95</v>
      </c>
      <c r="I40">
        <f t="shared" si="0"/>
        <v>0.95</v>
      </c>
      <c r="J40">
        <f t="shared" si="1"/>
        <v>0</v>
      </c>
      <c r="K40">
        <f t="shared" si="2"/>
        <v>0</v>
      </c>
    </row>
    <row r="41" spans="1:11" x14ac:dyDescent="0.2">
      <c r="G41" s="5" t="s">
        <v>83</v>
      </c>
      <c r="H41" s="6">
        <v>0.95</v>
      </c>
      <c r="I41">
        <f t="shared" si="0"/>
        <v>0.95</v>
      </c>
      <c r="J41">
        <f t="shared" si="1"/>
        <v>0</v>
      </c>
      <c r="K41">
        <f t="shared" si="2"/>
        <v>0</v>
      </c>
    </row>
    <row r="42" spans="1:11" x14ac:dyDescent="0.2">
      <c r="G42" s="5" t="s">
        <v>62</v>
      </c>
      <c r="H42" s="6">
        <v>0.65</v>
      </c>
      <c r="I42">
        <f t="shared" si="0"/>
        <v>0.85</v>
      </c>
      <c r="J42">
        <f t="shared" si="1"/>
        <v>-0.19999999999999996</v>
      </c>
      <c r="K42">
        <f t="shared" si="2"/>
        <v>0.19999999999999996</v>
      </c>
    </row>
    <row r="43" spans="1:11" x14ac:dyDescent="0.2">
      <c r="G43" s="5" t="s">
        <v>53</v>
      </c>
      <c r="H43" s="6">
        <v>0.85</v>
      </c>
      <c r="I43">
        <f t="shared" si="0"/>
        <v>0.85</v>
      </c>
      <c r="J43">
        <f t="shared" si="1"/>
        <v>0</v>
      </c>
      <c r="K43">
        <f t="shared" si="2"/>
        <v>0</v>
      </c>
    </row>
    <row r="44" spans="1:11" x14ac:dyDescent="0.2">
      <c r="G44" s="5" t="s">
        <v>20</v>
      </c>
      <c r="H44" s="6">
        <v>0.65</v>
      </c>
      <c r="I44">
        <f t="shared" si="0"/>
        <v>0.65</v>
      </c>
      <c r="J44">
        <f t="shared" si="1"/>
        <v>0</v>
      </c>
      <c r="K44">
        <f t="shared" si="2"/>
        <v>0</v>
      </c>
    </row>
    <row r="45" spans="1:11" x14ac:dyDescent="0.2">
      <c r="G45" s="5" t="s">
        <v>53</v>
      </c>
      <c r="H45" s="6">
        <v>0.75</v>
      </c>
      <c r="I45">
        <f t="shared" si="0"/>
        <v>0.85</v>
      </c>
      <c r="J45">
        <f t="shared" si="1"/>
        <v>-9.9999999999999978E-2</v>
      </c>
      <c r="K45">
        <f t="shared" si="2"/>
        <v>9.9999999999999978E-2</v>
      </c>
    </row>
    <row r="46" spans="1:11" x14ac:dyDescent="0.2">
      <c r="G46" s="5" t="s">
        <v>74</v>
      </c>
      <c r="H46" s="6">
        <v>0.95</v>
      </c>
      <c r="I46">
        <f t="shared" si="0"/>
        <v>0.95</v>
      </c>
      <c r="J46">
        <f t="shared" si="1"/>
        <v>0</v>
      </c>
      <c r="K46">
        <f t="shared" si="2"/>
        <v>0</v>
      </c>
    </row>
    <row r="47" spans="1:11" x14ac:dyDescent="0.2">
      <c r="G47" s="5" t="s">
        <v>83</v>
      </c>
      <c r="H47" s="6">
        <v>0.95</v>
      </c>
      <c r="I47">
        <f t="shared" si="0"/>
        <v>0.95</v>
      </c>
      <c r="J47">
        <f t="shared" si="1"/>
        <v>0</v>
      </c>
      <c r="K47">
        <f t="shared" si="2"/>
        <v>0</v>
      </c>
    </row>
    <row r="48" spans="1:11" x14ac:dyDescent="0.2">
      <c r="G48" s="5" t="s">
        <v>83</v>
      </c>
      <c r="H48" s="6">
        <v>0.95</v>
      </c>
      <c r="I48">
        <f t="shared" si="0"/>
        <v>0.95</v>
      </c>
      <c r="J48">
        <f t="shared" si="1"/>
        <v>0</v>
      </c>
      <c r="K48">
        <f t="shared" si="2"/>
        <v>0</v>
      </c>
    </row>
    <row r="49" spans="7:11" x14ac:dyDescent="0.2">
      <c r="G49" s="5" t="s">
        <v>11</v>
      </c>
      <c r="H49" s="6">
        <v>0.65</v>
      </c>
      <c r="I49">
        <f t="shared" si="0"/>
        <v>0.65</v>
      </c>
      <c r="J49">
        <f t="shared" si="1"/>
        <v>0</v>
      </c>
      <c r="K49">
        <f t="shared" si="2"/>
        <v>0</v>
      </c>
    </row>
    <row r="50" spans="7:11" x14ac:dyDescent="0.2">
      <c r="G50" s="5" t="s">
        <v>83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5" t="s">
        <v>62</v>
      </c>
      <c r="H51" s="6">
        <v>0.85</v>
      </c>
      <c r="I51">
        <f t="shared" si="0"/>
        <v>0.85</v>
      </c>
      <c r="J51">
        <f t="shared" si="1"/>
        <v>0</v>
      </c>
      <c r="K51">
        <f t="shared" si="2"/>
        <v>0</v>
      </c>
    </row>
    <row r="54" spans="7:11" x14ac:dyDescent="0.2">
      <c r="K54">
        <f>AVERAGE(K2:K51)/0.3</f>
        <v>5.3333333333333323E-2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B713-068F-B948-812B-1EA4011258FC}">
  <dimension ref="A1:S54"/>
  <sheetViews>
    <sheetView workbookViewId="0">
      <selection activeCell="G42" sqref="G42"/>
    </sheetView>
  </sheetViews>
  <sheetFormatPr baseColWidth="10" defaultRowHeight="16" x14ac:dyDescent="0.2"/>
  <cols>
    <col min="14" max="14" width="16.33203125" bestFit="1" customWidth="1"/>
    <col min="15" max="15" width="16" bestFit="1" customWidth="1"/>
    <col min="16" max="17" width="7.1640625" bestFit="1" customWidth="1"/>
    <col min="18" max="18" width="8.1640625" bestFit="1" customWidth="1"/>
    <col min="19" max="20" width="10.5" bestFit="1" customWidth="1"/>
    <col min="21" max="21" width="14.83203125" bestFit="1" customWidth="1"/>
    <col min="22" max="22" width="16" bestFit="1" customWidth="1"/>
    <col min="23" max="25" width="5.1640625" bestFit="1" customWidth="1"/>
    <col min="26" max="26" width="7" bestFit="1" customWidth="1"/>
    <col min="27" max="27" width="10.5" bestFit="1" customWidth="1"/>
  </cols>
  <sheetData>
    <row r="1" spans="1:19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19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83</v>
      </c>
      <c r="H2" s="6">
        <v>0.95</v>
      </c>
      <c r="I2">
        <f>_xlfn.XLOOKUP(G2,$C$2:$C$35,$A$2:$A$35)</f>
        <v>0.95</v>
      </c>
      <c r="J2">
        <f>((H2-I2))</f>
        <v>0</v>
      </c>
      <c r="K2">
        <f>IF(J2&gt;0,J2,-J2)</f>
        <v>0</v>
      </c>
    </row>
    <row r="3" spans="1:19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11</v>
      </c>
      <c r="H3" s="6">
        <v>0.65</v>
      </c>
      <c r="I3">
        <f t="shared" ref="I3:I51" si="0">_xlfn.XLOOKUP(G3,$C$2:$C$35,$A$2:$A$35)</f>
        <v>0.65</v>
      </c>
      <c r="J3">
        <f t="shared" ref="J3:J51" si="1">((H3-I3))</f>
        <v>0</v>
      </c>
      <c r="K3">
        <f t="shared" ref="K3:K51" si="2">IF(J3&gt;0,J3,-J3)</f>
        <v>0</v>
      </c>
    </row>
    <row r="4" spans="1:19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41</v>
      </c>
      <c r="H4" s="6">
        <v>0.65</v>
      </c>
      <c r="I4">
        <f t="shared" si="0"/>
        <v>0.75</v>
      </c>
      <c r="J4">
        <f t="shared" si="1"/>
        <v>-9.9999999999999978E-2</v>
      </c>
      <c r="K4">
        <f t="shared" si="2"/>
        <v>9.9999999999999978E-2</v>
      </c>
      <c r="N4" s="7" t="s">
        <v>97</v>
      </c>
      <c r="O4" s="7" t="s">
        <v>94</v>
      </c>
    </row>
    <row r="5" spans="1:19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0.95</v>
      </c>
      <c r="I5">
        <f t="shared" si="0"/>
        <v>0.85</v>
      </c>
      <c r="J5">
        <f t="shared" si="1"/>
        <v>9.9999999999999978E-2</v>
      </c>
      <c r="K5">
        <f t="shared" si="2"/>
        <v>9.9999999999999978E-2</v>
      </c>
      <c r="N5" s="7" t="s">
        <v>93</v>
      </c>
      <c r="O5">
        <v>0.65</v>
      </c>
      <c r="P5">
        <v>0.75</v>
      </c>
      <c r="Q5">
        <v>0.85</v>
      </c>
      <c r="R5">
        <v>0.95</v>
      </c>
      <c r="S5" t="s">
        <v>92</v>
      </c>
    </row>
    <row r="6" spans="1:19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0.95</v>
      </c>
      <c r="I6">
        <f t="shared" si="0"/>
        <v>0.95</v>
      </c>
      <c r="J6">
        <f t="shared" si="1"/>
        <v>0</v>
      </c>
      <c r="K6">
        <f t="shared" si="2"/>
        <v>0</v>
      </c>
      <c r="N6" s="8">
        <v>0.65</v>
      </c>
      <c r="O6" s="14">
        <v>1</v>
      </c>
      <c r="P6" s="9">
        <v>0</v>
      </c>
      <c r="Q6" s="9">
        <v>0</v>
      </c>
      <c r="R6" s="9">
        <v>0</v>
      </c>
      <c r="S6" s="9">
        <v>1</v>
      </c>
    </row>
    <row r="7" spans="1:19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41</v>
      </c>
      <c r="H7" s="6">
        <v>0.85</v>
      </c>
      <c r="I7">
        <f t="shared" si="0"/>
        <v>0.75</v>
      </c>
      <c r="J7">
        <f t="shared" si="1"/>
        <v>9.9999999999999978E-2</v>
      </c>
      <c r="K7">
        <f t="shared" si="2"/>
        <v>9.9999999999999978E-2</v>
      </c>
      <c r="N7" s="8">
        <v>0.75</v>
      </c>
      <c r="O7" s="16">
        <v>0.22222222222222221</v>
      </c>
      <c r="P7" s="14">
        <v>0.44444444444444442</v>
      </c>
      <c r="Q7" s="16">
        <v>0.33333333333333331</v>
      </c>
      <c r="R7" s="9">
        <v>0</v>
      </c>
      <c r="S7" s="9">
        <v>1</v>
      </c>
    </row>
    <row r="8" spans="1:19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62</v>
      </c>
      <c r="H8" s="6">
        <v>0.75</v>
      </c>
      <c r="I8">
        <f t="shared" si="0"/>
        <v>0.85</v>
      </c>
      <c r="J8">
        <f t="shared" si="1"/>
        <v>-9.9999999999999978E-2</v>
      </c>
      <c r="K8">
        <f t="shared" si="2"/>
        <v>9.9999999999999978E-2</v>
      </c>
      <c r="N8" s="8">
        <v>0.85</v>
      </c>
      <c r="O8" s="17">
        <v>6.6666666666666666E-2</v>
      </c>
      <c r="P8" s="16">
        <v>0.2</v>
      </c>
      <c r="Q8" s="14">
        <v>0.33333333333333331</v>
      </c>
      <c r="R8" s="16">
        <v>0.4</v>
      </c>
      <c r="S8" s="9">
        <v>1</v>
      </c>
    </row>
    <row r="9" spans="1:19" x14ac:dyDescent="0.2">
      <c r="G9" s="5" t="s">
        <v>74</v>
      </c>
      <c r="H9" s="6">
        <v>0.95</v>
      </c>
      <c r="I9">
        <f t="shared" si="0"/>
        <v>0.95</v>
      </c>
      <c r="J9">
        <f t="shared" si="1"/>
        <v>0</v>
      </c>
      <c r="K9">
        <f t="shared" si="2"/>
        <v>0</v>
      </c>
      <c r="N9" s="8">
        <v>0.95</v>
      </c>
      <c r="O9" s="9">
        <v>0</v>
      </c>
      <c r="P9" s="9">
        <v>0</v>
      </c>
      <c r="Q9" s="9">
        <v>0</v>
      </c>
      <c r="R9" s="14">
        <v>1</v>
      </c>
      <c r="S9" s="9">
        <v>1</v>
      </c>
    </row>
    <row r="10" spans="1:19" x14ac:dyDescent="0.2">
      <c r="G10" s="5" t="s">
        <v>83</v>
      </c>
      <c r="H10" s="6">
        <v>0.95</v>
      </c>
      <c r="I10">
        <f t="shared" si="0"/>
        <v>0.95</v>
      </c>
      <c r="J10">
        <f t="shared" si="1"/>
        <v>0</v>
      </c>
      <c r="K10">
        <f t="shared" si="2"/>
        <v>0</v>
      </c>
      <c r="N10" s="8" t="s">
        <v>92</v>
      </c>
      <c r="O10" s="9">
        <v>0.3</v>
      </c>
      <c r="P10" s="9">
        <v>0.14000000000000001</v>
      </c>
      <c r="Q10" s="9">
        <v>0.16</v>
      </c>
      <c r="R10" s="9">
        <v>0.4</v>
      </c>
      <c r="S10" s="9">
        <v>1</v>
      </c>
    </row>
    <row r="11" spans="1:19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32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</row>
    <row r="12" spans="1:19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11</v>
      </c>
      <c r="H12" s="6">
        <v>0.65</v>
      </c>
      <c r="I12">
        <f t="shared" si="0"/>
        <v>0.65</v>
      </c>
      <c r="J12">
        <f t="shared" si="1"/>
        <v>0</v>
      </c>
      <c r="K12">
        <f t="shared" si="2"/>
        <v>0</v>
      </c>
    </row>
    <row r="13" spans="1:19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74</v>
      </c>
      <c r="H13" s="6">
        <v>0.95</v>
      </c>
      <c r="I13">
        <f t="shared" si="0"/>
        <v>0.95</v>
      </c>
      <c r="J13">
        <f t="shared" si="1"/>
        <v>0</v>
      </c>
      <c r="K13">
        <f t="shared" si="2"/>
        <v>0</v>
      </c>
    </row>
    <row r="14" spans="1:19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0.95</v>
      </c>
      <c r="I14">
        <f t="shared" si="0"/>
        <v>0.85</v>
      </c>
      <c r="J14">
        <f t="shared" si="1"/>
        <v>9.9999999999999978E-2</v>
      </c>
      <c r="K14">
        <f t="shared" si="2"/>
        <v>9.9999999999999978E-2</v>
      </c>
    </row>
    <row r="15" spans="1:19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74</v>
      </c>
      <c r="H15" s="6">
        <v>0.95</v>
      </c>
      <c r="I15">
        <f t="shared" si="0"/>
        <v>0.95</v>
      </c>
      <c r="J15">
        <f t="shared" si="1"/>
        <v>0</v>
      </c>
      <c r="K15">
        <f t="shared" si="2"/>
        <v>0</v>
      </c>
    </row>
    <row r="16" spans="1:19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53</v>
      </c>
      <c r="H16" s="6">
        <v>0.95</v>
      </c>
      <c r="I16">
        <f t="shared" si="0"/>
        <v>0.85</v>
      </c>
      <c r="J16">
        <f t="shared" si="1"/>
        <v>9.9999999999999978E-2</v>
      </c>
      <c r="K16">
        <f t="shared" si="2"/>
        <v>9.9999999999999978E-2</v>
      </c>
    </row>
    <row r="17" spans="1:18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41</v>
      </c>
      <c r="H17" s="6">
        <v>0.85</v>
      </c>
      <c r="I17">
        <f t="shared" si="0"/>
        <v>0.75</v>
      </c>
      <c r="J17">
        <f t="shared" si="1"/>
        <v>9.9999999999999978E-2</v>
      </c>
      <c r="K17">
        <f t="shared" si="2"/>
        <v>9.9999999999999978E-2</v>
      </c>
    </row>
    <row r="18" spans="1:18" x14ac:dyDescent="0.2">
      <c r="G18" s="5" t="s">
        <v>11</v>
      </c>
      <c r="H18" s="6">
        <v>0.65</v>
      </c>
      <c r="I18">
        <f t="shared" si="0"/>
        <v>0.65</v>
      </c>
      <c r="J18">
        <f t="shared" si="1"/>
        <v>0</v>
      </c>
      <c r="K18">
        <f t="shared" si="2"/>
        <v>0</v>
      </c>
    </row>
    <row r="19" spans="1:18" x14ac:dyDescent="0.2">
      <c r="G19" s="5" t="s">
        <v>74</v>
      </c>
      <c r="H19" s="6">
        <v>0.95</v>
      </c>
      <c r="I19">
        <f t="shared" si="0"/>
        <v>0.95</v>
      </c>
      <c r="J19">
        <f t="shared" si="1"/>
        <v>0</v>
      </c>
      <c r="K19">
        <f t="shared" si="2"/>
        <v>0</v>
      </c>
    </row>
    <row r="20" spans="1:18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0.85</v>
      </c>
      <c r="I20">
        <f t="shared" si="0"/>
        <v>0.75</v>
      </c>
      <c r="J20">
        <f t="shared" si="1"/>
        <v>9.9999999999999978E-2</v>
      </c>
      <c r="K20">
        <f t="shared" si="2"/>
        <v>9.9999999999999978E-2</v>
      </c>
    </row>
    <row r="21" spans="1:18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41</v>
      </c>
      <c r="H21" s="6">
        <v>0.75</v>
      </c>
      <c r="I21">
        <f t="shared" si="0"/>
        <v>0.75</v>
      </c>
      <c r="J21">
        <f t="shared" si="1"/>
        <v>0</v>
      </c>
      <c r="K21">
        <f t="shared" si="2"/>
        <v>0</v>
      </c>
    </row>
    <row r="22" spans="1:18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11</v>
      </c>
      <c r="H22" s="6">
        <v>0.65</v>
      </c>
      <c r="I22">
        <f t="shared" si="0"/>
        <v>0.65</v>
      </c>
      <c r="J22">
        <f t="shared" si="1"/>
        <v>0</v>
      </c>
      <c r="K22">
        <f t="shared" si="2"/>
        <v>0</v>
      </c>
    </row>
    <row r="23" spans="1:18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53</v>
      </c>
      <c r="H23" s="6">
        <v>0.85</v>
      </c>
      <c r="I23">
        <f t="shared" si="0"/>
        <v>0.85</v>
      </c>
      <c r="J23">
        <f t="shared" si="1"/>
        <v>0</v>
      </c>
      <c r="K23">
        <f t="shared" si="2"/>
        <v>0</v>
      </c>
      <c r="R23" s="9"/>
    </row>
    <row r="24" spans="1:18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32</v>
      </c>
      <c r="H24" s="6">
        <v>0.75</v>
      </c>
      <c r="I24">
        <f t="shared" si="0"/>
        <v>0.75</v>
      </c>
      <c r="J24">
        <f t="shared" si="1"/>
        <v>0</v>
      </c>
      <c r="K24">
        <f t="shared" si="2"/>
        <v>0</v>
      </c>
    </row>
    <row r="25" spans="1:18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11</v>
      </c>
      <c r="H25" s="6">
        <v>0.65</v>
      </c>
      <c r="I25">
        <f t="shared" si="0"/>
        <v>0.65</v>
      </c>
      <c r="J25">
        <f t="shared" si="1"/>
        <v>0</v>
      </c>
      <c r="K25">
        <f t="shared" si="2"/>
        <v>0</v>
      </c>
    </row>
    <row r="26" spans="1:18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32</v>
      </c>
      <c r="H26" s="6">
        <v>0.75</v>
      </c>
      <c r="I26">
        <f t="shared" si="0"/>
        <v>0.75</v>
      </c>
      <c r="J26">
        <f t="shared" si="1"/>
        <v>0</v>
      </c>
      <c r="K26">
        <f t="shared" si="2"/>
        <v>0</v>
      </c>
    </row>
    <row r="27" spans="1:18" x14ac:dyDescent="0.2">
      <c r="G27" s="5" t="s">
        <v>53</v>
      </c>
      <c r="H27" s="6">
        <v>0.95</v>
      </c>
      <c r="I27">
        <f t="shared" si="0"/>
        <v>0.85</v>
      </c>
      <c r="J27">
        <f t="shared" si="1"/>
        <v>9.9999999999999978E-2</v>
      </c>
      <c r="K27">
        <f t="shared" si="2"/>
        <v>9.9999999999999978E-2</v>
      </c>
    </row>
    <row r="28" spans="1:18" x14ac:dyDescent="0.2">
      <c r="G28" s="5" t="s">
        <v>41</v>
      </c>
      <c r="H28" s="6">
        <v>0.65</v>
      </c>
      <c r="I28">
        <f t="shared" si="0"/>
        <v>0.75</v>
      </c>
      <c r="J28">
        <f t="shared" si="1"/>
        <v>-9.9999999999999978E-2</v>
      </c>
      <c r="K28">
        <f t="shared" si="2"/>
        <v>9.9999999999999978E-2</v>
      </c>
    </row>
    <row r="29" spans="1:18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53</v>
      </c>
      <c r="H29" s="6">
        <v>0.85</v>
      </c>
      <c r="I29">
        <f t="shared" si="0"/>
        <v>0.85</v>
      </c>
      <c r="J29">
        <f t="shared" si="1"/>
        <v>0</v>
      </c>
      <c r="K29">
        <f t="shared" si="2"/>
        <v>0</v>
      </c>
    </row>
    <row r="30" spans="1:18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11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</row>
    <row r="31" spans="1:18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11</v>
      </c>
      <c r="H31" s="6">
        <v>0.65</v>
      </c>
      <c r="I31">
        <f t="shared" si="0"/>
        <v>0.65</v>
      </c>
      <c r="J31">
        <f t="shared" si="1"/>
        <v>0</v>
      </c>
      <c r="K31">
        <f t="shared" si="2"/>
        <v>0</v>
      </c>
    </row>
    <row r="32" spans="1:18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62</v>
      </c>
      <c r="H32" s="6">
        <v>0.95</v>
      </c>
      <c r="I32">
        <f t="shared" si="0"/>
        <v>0.85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20</v>
      </c>
      <c r="H33" s="6">
        <v>0.65</v>
      </c>
      <c r="I33">
        <f t="shared" si="0"/>
        <v>0.65</v>
      </c>
      <c r="J33">
        <f t="shared" si="1"/>
        <v>0</v>
      </c>
      <c r="K33">
        <f t="shared" si="2"/>
        <v>0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0.65</v>
      </c>
      <c r="I34">
        <f t="shared" si="0"/>
        <v>0.65</v>
      </c>
      <c r="J34">
        <f t="shared" si="1"/>
        <v>0</v>
      </c>
      <c r="K34">
        <f t="shared" si="2"/>
        <v>0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62</v>
      </c>
      <c r="H35" s="6">
        <v>0.95</v>
      </c>
      <c r="I35">
        <f t="shared" si="0"/>
        <v>0.85</v>
      </c>
      <c r="J35">
        <f t="shared" si="1"/>
        <v>9.9999999999999978E-2</v>
      </c>
      <c r="K35">
        <f t="shared" si="2"/>
        <v>9.9999999999999978E-2</v>
      </c>
    </row>
    <row r="36" spans="1:11" x14ac:dyDescent="0.2">
      <c r="G36" s="5" t="s">
        <v>62</v>
      </c>
      <c r="H36" s="6">
        <v>0.85</v>
      </c>
      <c r="I36">
        <f t="shared" si="0"/>
        <v>0.85</v>
      </c>
      <c r="J36">
        <f t="shared" si="1"/>
        <v>0</v>
      </c>
      <c r="K36">
        <f t="shared" si="2"/>
        <v>0</v>
      </c>
    </row>
    <row r="37" spans="1:11" x14ac:dyDescent="0.2">
      <c r="G37" s="5" t="s">
        <v>74</v>
      </c>
      <c r="H37" s="6">
        <v>0.95</v>
      </c>
      <c r="I37">
        <f t="shared" si="0"/>
        <v>0.95</v>
      </c>
      <c r="J37">
        <f t="shared" si="1"/>
        <v>0</v>
      </c>
      <c r="K37">
        <f t="shared" si="2"/>
        <v>0</v>
      </c>
    </row>
    <row r="38" spans="1:11" x14ac:dyDescent="0.2">
      <c r="G38" s="5" t="s">
        <v>20</v>
      </c>
      <c r="H38" s="6">
        <v>0.65</v>
      </c>
      <c r="I38">
        <f t="shared" si="0"/>
        <v>0.65</v>
      </c>
      <c r="J38">
        <f t="shared" si="1"/>
        <v>0</v>
      </c>
      <c r="K38">
        <f t="shared" si="2"/>
        <v>0</v>
      </c>
    </row>
    <row r="39" spans="1:11" x14ac:dyDescent="0.2">
      <c r="G39" s="5" t="s">
        <v>53</v>
      </c>
      <c r="H39" s="6">
        <v>0.85</v>
      </c>
      <c r="I39">
        <f t="shared" si="0"/>
        <v>0.85</v>
      </c>
      <c r="J39">
        <f t="shared" si="1"/>
        <v>0</v>
      </c>
      <c r="K39">
        <f t="shared" si="2"/>
        <v>0</v>
      </c>
    </row>
    <row r="40" spans="1:11" x14ac:dyDescent="0.2">
      <c r="G40" s="5" t="s">
        <v>74</v>
      </c>
      <c r="H40" s="6">
        <v>0.95</v>
      </c>
      <c r="I40">
        <f t="shared" si="0"/>
        <v>0.95</v>
      </c>
      <c r="J40">
        <f t="shared" si="1"/>
        <v>0</v>
      </c>
      <c r="K40">
        <f t="shared" si="2"/>
        <v>0</v>
      </c>
    </row>
    <row r="41" spans="1:11" x14ac:dyDescent="0.2">
      <c r="G41" s="5" t="s">
        <v>83</v>
      </c>
      <c r="H41" s="6">
        <v>0.95</v>
      </c>
      <c r="I41">
        <f t="shared" si="0"/>
        <v>0.95</v>
      </c>
      <c r="J41">
        <f t="shared" si="1"/>
        <v>0</v>
      </c>
      <c r="K41">
        <f t="shared" si="2"/>
        <v>0</v>
      </c>
    </row>
    <row r="42" spans="1:11" x14ac:dyDescent="0.2">
      <c r="G42" s="5" t="s">
        <v>62</v>
      </c>
      <c r="H42" s="6">
        <v>0.65</v>
      </c>
      <c r="I42">
        <f t="shared" si="0"/>
        <v>0.85</v>
      </c>
      <c r="J42">
        <f t="shared" si="1"/>
        <v>-0.19999999999999996</v>
      </c>
      <c r="K42">
        <f t="shared" si="2"/>
        <v>0.19999999999999996</v>
      </c>
    </row>
    <row r="43" spans="1:11" x14ac:dyDescent="0.2">
      <c r="G43" s="5" t="s">
        <v>53</v>
      </c>
      <c r="H43" s="6">
        <v>0.85</v>
      </c>
      <c r="I43">
        <f t="shared" si="0"/>
        <v>0.85</v>
      </c>
      <c r="J43">
        <f t="shared" si="1"/>
        <v>0</v>
      </c>
      <c r="K43">
        <f t="shared" si="2"/>
        <v>0</v>
      </c>
    </row>
    <row r="44" spans="1:11" x14ac:dyDescent="0.2">
      <c r="G44" s="5" t="s">
        <v>20</v>
      </c>
      <c r="H44" s="6">
        <v>0.65</v>
      </c>
      <c r="I44">
        <f t="shared" si="0"/>
        <v>0.65</v>
      </c>
      <c r="J44">
        <f t="shared" si="1"/>
        <v>0</v>
      </c>
      <c r="K44">
        <f t="shared" si="2"/>
        <v>0</v>
      </c>
    </row>
    <row r="45" spans="1:11" x14ac:dyDescent="0.2">
      <c r="G45" s="5" t="s">
        <v>53</v>
      </c>
      <c r="H45" s="6">
        <v>0.75</v>
      </c>
      <c r="I45">
        <f t="shared" si="0"/>
        <v>0.85</v>
      </c>
      <c r="J45">
        <f t="shared" si="1"/>
        <v>-9.9999999999999978E-2</v>
      </c>
      <c r="K45">
        <f t="shared" si="2"/>
        <v>9.9999999999999978E-2</v>
      </c>
    </row>
    <row r="46" spans="1:11" x14ac:dyDescent="0.2">
      <c r="G46" s="5" t="s">
        <v>74</v>
      </c>
      <c r="H46" s="6">
        <v>0.95</v>
      </c>
      <c r="I46">
        <f t="shared" si="0"/>
        <v>0.95</v>
      </c>
      <c r="J46">
        <f t="shared" si="1"/>
        <v>0</v>
      </c>
      <c r="K46">
        <f t="shared" si="2"/>
        <v>0</v>
      </c>
    </row>
    <row r="47" spans="1:11" x14ac:dyDescent="0.2">
      <c r="G47" s="5" t="s">
        <v>83</v>
      </c>
      <c r="H47" s="6">
        <v>0.95</v>
      </c>
      <c r="I47">
        <f t="shared" si="0"/>
        <v>0.95</v>
      </c>
      <c r="J47">
        <f t="shared" si="1"/>
        <v>0</v>
      </c>
      <c r="K47">
        <f t="shared" si="2"/>
        <v>0</v>
      </c>
    </row>
    <row r="48" spans="1:11" x14ac:dyDescent="0.2">
      <c r="G48" s="5" t="s">
        <v>83</v>
      </c>
      <c r="H48" s="6">
        <v>0.95</v>
      </c>
      <c r="I48">
        <f t="shared" si="0"/>
        <v>0.95</v>
      </c>
      <c r="J48">
        <f t="shared" si="1"/>
        <v>0</v>
      </c>
      <c r="K48">
        <f t="shared" si="2"/>
        <v>0</v>
      </c>
    </row>
    <row r="49" spans="7:11" x14ac:dyDescent="0.2">
      <c r="G49" s="5" t="s">
        <v>11</v>
      </c>
      <c r="H49" s="6">
        <v>0.65</v>
      </c>
      <c r="I49">
        <f t="shared" si="0"/>
        <v>0.65</v>
      </c>
      <c r="J49">
        <f t="shared" si="1"/>
        <v>0</v>
      </c>
      <c r="K49">
        <f t="shared" si="2"/>
        <v>0</v>
      </c>
    </row>
    <row r="50" spans="7:11" x14ac:dyDescent="0.2">
      <c r="G50" s="5" t="s">
        <v>83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5" t="s">
        <v>62</v>
      </c>
      <c r="H51" s="6">
        <v>0.75</v>
      </c>
      <c r="I51">
        <f t="shared" si="0"/>
        <v>0.85</v>
      </c>
      <c r="J51">
        <f t="shared" si="1"/>
        <v>-9.9999999999999978E-2</v>
      </c>
      <c r="K51">
        <f t="shared" si="2"/>
        <v>9.9999999999999978E-2</v>
      </c>
    </row>
    <row r="54" spans="7:11" x14ac:dyDescent="0.2">
      <c r="K54">
        <f>AVERAGE(K2:K51)/0.3</f>
        <v>0.10666666666666665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941F-7ACC-4A4E-86EF-2B3FFC084F3C}">
  <dimension ref="A1:R54"/>
  <sheetViews>
    <sheetView workbookViewId="0">
      <selection activeCell="V31" sqref="V31"/>
    </sheetView>
  </sheetViews>
  <sheetFormatPr baseColWidth="10" defaultRowHeight="16" x14ac:dyDescent="0.2"/>
  <cols>
    <col min="13" max="13" width="16.33203125" bestFit="1" customWidth="1"/>
    <col min="14" max="14" width="8.33203125" bestFit="1" customWidth="1"/>
    <col min="15" max="16" width="7.1640625" bestFit="1" customWidth="1"/>
    <col min="17" max="17" width="8.1640625" bestFit="1" customWidth="1"/>
    <col min="18" max="18" width="10.5" bestFit="1" customWidth="1"/>
    <col min="19" max="19" width="10.6640625" bestFit="1" customWidth="1"/>
    <col min="20" max="20" width="10.5" bestFit="1" customWidth="1"/>
    <col min="21" max="21" width="14.83203125" bestFit="1" customWidth="1"/>
    <col min="22" max="22" width="16" bestFit="1" customWidth="1"/>
    <col min="23" max="25" width="5.1640625" bestFit="1" customWidth="1"/>
    <col min="26" max="26" width="7" bestFit="1" customWidth="1"/>
    <col min="27" max="27" width="10.5" bestFit="1" customWidth="1"/>
  </cols>
  <sheetData>
    <row r="1" spans="1:18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18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83</v>
      </c>
      <c r="H2" s="6">
        <v>0.95</v>
      </c>
      <c r="I2">
        <f>_xlfn.XLOOKUP(G2,$C$2:$C$35,$A$2:$A$35)</f>
        <v>0.95</v>
      </c>
      <c r="J2">
        <f>((H2-I2))</f>
        <v>0</v>
      </c>
      <c r="K2">
        <f>IF(J2&gt;0,J2,-J2)</f>
        <v>0</v>
      </c>
    </row>
    <row r="3" spans="1:18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11</v>
      </c>
      <c r="H3" s="6">
        <v>0.65</v>
      </c>
      <c r="I3">
        <f t="shared" ref="I3:I51" si="0">_xlfn.XLOOKUP(G3,$C$2:$C$35,$A$2:$A$35)</f>
        <v>0.65</v>
      </c>
      <c r="J3">
        <f t="shared" ref="J3:J51" si="1">((H3-I3))</f>
        <v>0</v>
      </c>
      <c r="K3">
        <f t="shared" ref="K3:K51" si="2">IF(J3&gt;0,J3,-J3)</f>
        <v>0</v>
      </c>
    </row>
    <row r="4" spans="1:18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41</v>
      </c>
      <c r="H4" s="6">
        <v>0.75</v>
      </c>
      <c r="I4">
        <f t="shared" si="0"/>
        <v>0.75</v>
      </c>
      <c r="J4">
        <f t="shared" si="1"/>
        <v>0</v>
      </c>
      <c r="K4">
        <f t="shared" si="2"/>
        <v>0</v>
      </c>
    </row>
    <row r="5" spans="1:18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0.85</v>
      </c>
      <c r="I5">
        <f t="shared" si="0"/>
        <v>0.85</v>
      </c>
      <c r="J5">
        <f t="shared" si="1"/>
        <v>0</v>
      </c>
      <c r="K5">
        <f t="shared" si="2"/>
        <v>0</v>
      </c>
    </row>
    <row r="6" spans="1:18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0.95</v>
      </c>
      <c r="I6">
        <f t="shared" si="0"/>
        <v>0.95</v>
      </c>
      <c r="J6">
        <f t="shared" si="1"/>
        <v>0</v>
      </c>
      <c r="K6">
        <f t="shared" si="2"/>
        <v>0</v>
      </c>
    </row>
    <row r="7" spans="1:18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41</v>
      </c>
      <c r="H7" s="6">
        <v>0.85</v>
      </c>
      <c r="I7">
        <f t="shared" si="0"/>
        <v>0.75</v>
      </c>
      <c r="J7">
        <f t="shared" si="1"/>
        <v>9.9999999999999978E-2</v>
      </c>
      <c r="K7">
        <f t="shared" si="2"/>
        <v>9.9999999999999978E-2</v>
      </c>
    </row>
    <row r="8" spans="1:18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62</v>
      </c>
      <c r="H8" s="6">
        <v>0.85</v>
      </c>
      <c r="I8">
        <f t="shared" si="0"/>
        <v>0.85</v>
      </c>
      <c r="J8">
        <f t="shared" si="1"/>
        <v>0</v>
      </c>
      <c r="K8">
        <f t="shared" si="2"/>
        <v>0</v>
      </c>
      <c r="M8" s="7" t="s">
        <v>97</v>
      </c>
      <c r="N8" s="7" t="s">
        <v>94</v>
      </c>
    </row>
    <row r="9" spans="1:18" x14ac:dyDescent="0.2">
      <c r="G9" s="5" t="s">
        <v>74</v>
      </c>
      <c r="H9" s="6">
        <v>0.95</v>
      </c>
      <c r="I9">
        <f t="shared" si="0"/>
        <v>0.95</v>
      </c>
      <c r="J9">
        <f t="shared" si="1"/>
        <v>0</v>
      </c>
      <c r="K9">
        <f t="shared" si="2"/>
        <v>0</v>
      </c>
      <c r="M9" s="7" t="s">
        <v>93</v>
      </c>
      <c r="N9">
        <v>0.65</v>
      </c>
      <c r="O9">
        <v>0.75</v>
      </c>
      <c r="P9">
        <v>0.85</v>
      </c>
      <c r="Q9">
        <v>0.95</v>
      </c>
      <c r="R9" t="s">
        <v>92</v>
      </c>
    </row>
    <row r="10" spans="1:18" x14ac:dyDescent="0.2">
      <c r="G10" s="5" t="s">
        <v>83</v>
      </c>
      <c r="H10" s="6">
        <v>0.95</v>
      </c>
      <c r="I10">
        <f t="shared" si="0"/>
        <v>0.95</v>
      </c>
      <c r="J10">
        <f t="shared" si="1"/>
        <v>0</v>
      </c>
      <c r="K10">
        <f t="shared" si="2"/>
        <v>0</v>
      </c>
      <c r="M10" s="8">
        <v>0.65</v>
      </c>
      <c r="N10" s="14">
        <v>1</v>
      </c>
      <c r="O10" s="9">
        <v>0</v>
      </c>
      <c r="P10" s="9">
        <v>0</v>
      </c>
      <c r="Q10" s="9">
        <v>0</v>
      </c>
      <c r="R10" s="9">
        <v>1</v>
      </c>
    </row>
    <row r="11" spans="1:18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32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  <c r="M11" s="8">
        <v>0.75</v>
      </c>
      <c r="N11" s="16">
        <v>0.1111111111111111</v>
      </c>
      <c r="O11" s="14">
        <v>0.77777777777777779</v>
      </c>
      <c r="P11" s="16">
        <v>0.1111111111111111</v>
      </c>
      <c r="Q11" s="9">
        <v>0</v>
      </c>
      <c r="R11" s="9">
        <v>1</v>
      </c>
    </row>
    <row r="12" spans="1:18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11</v>
      </c>
      <c r="H12" s="6">
        <v>0.65</v>
      </c>
      <c r="I12">
        <f t="shared" si="0"/>
        <v>0.65</v>
      </c>
      <c r="J12">
        <f t="shared" si="1"/>
        <v>0</v>
      </c>
      <c r="K12">
        <f t="shared" si="2"/>
        <v>0</v>
      </c>
      <c r="M12" s="8">
        <v>0.85</v>
      </c>
      <c r="N12" s="17">
        <v>6.6666666666666666E-2</v>
      </c>
      <c r="O12" s="16">
        <v>6.6666666666666666E-2</v>
      </c>
      <c r="P12" s="14">
        <v>0.66666666666666663</v>
      </c>
      <c r="Q12" s="16">
        <v>0.2</v>
      </c>
      <c r="R12" s="9">
        <v>1</v>
      </c>
    </row>
    <row r="13" spans="1:18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74</v>
      </c>
      <c r="H13" s="6">
        <v>0.95</v>
      </c>
      <c r="I13">
        <f t="shared" si="0"/>
        <v>0.95</v>
      </c>
      <c r="J13">
        <f t="shared" si="1"/>
        <v>0</v>
      </c>
      <c r="K13">
        <f t="shared" si="2"/>
        <v>0</v>
      </c>
      <c r="M13" s="8">
        <v>0.95</v>
      </c>
      <c r="N13" s="9">
        <v>0</v>
      </c>
      <c r="O13" s="9">
        <v>0</v>
      </c>
      <c r="P13" s="9">
        <v>0</v>
      </c>
      <c r="Q13" s="14">
        <v>1</v>
      </c>
      <c r="R13" s="9">
        <v>1</v>
      </c>
    </row>
    <row r="14" spans="1:18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0.95</v>
      </c>
      <c r="I14">
        <f t="shared" si="0"/>
        <v>0.85</v>
      </c>
      <c r="J14">
        <f t="shared" si="1"/>
        <v>9.9999999999999978E-2</v>
      </c>
      <c r="K14">
        <f t="shared" si="2"/>
        <v>9.9999999999999978E-2</v>
      </c>
      <c r="M14" s="8" t="s">
        <v>92</v>
      </c>
      <c r="N14" s="9">
        <v>0.28000000000000003</v>
      </c>
      <c r="O14" s="9">
        <v>0.16</v>
      </c>
      <c r="P14" s="9">
        <v>0.22</v>
      </c>
      <c r="Q14" s="9">
        <v>0.34</v>
      </c>
      <c r="R14" s="9">
        <v>1</v>
      </c>
    </row>
    <row r="15" spans="1:18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74</v>
      </c>
      <c r="H15" s="6">
        <v>0.95</v>
      </c>
      <c r="I15">
        <f t="shared" si="0"/>
        <v>0.95</v>
      </c>
      <c r="J15">
        <f t="shared" si="1"/>
        <v>0</v>
      </c>
      <c r="K15">
        <f t="shared" si="2"/>
        <v>0</v>
      </c>
    </row>
    <row r="16" spans="1:18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53</v>
      </c>
      <c r="H16" s="6">
        <v>0.85</v>
      </c>
      <c r="I16">
        <f t="shared" si="0"/>
        <v>0.85</v>
      </c>
      <c r="J16">
        <f t="shared" si="1"/>
        <v>0</v>
      </c>
      <c r="K16">
        <f t="shared" si="2"/>
        <v>0</v>
      </c>
    </row>
    <row r="17" spans="1:18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41</v>
      </c>
      <c r="H17" s="6">
        <v>0.75</v>
      </c>
      <c r="I17">
        <f t="shared" si="0"/>
        <v>0.75</v>
      </c>
      <c r="J17">
        <f t="shared" si="1"/>
        <v>0</v>
      </c>
      <c r="K17">
        <f t="shared" si="2"/>
        <v>0</v>
      </c>
    </row>
    <row r="18" spans="1:18" x14ac:dyDescent="0.2">
      <c r="G18" s="5" t="s">
        <v>11</v>
      </c>
      <c r="H18" s="6">
        <v>0.65</v>
      </c>
      <c r="I18">
        <f t="shared" si="0"/>
        <v>0.65</v>
      </c>
      <c r="J18">
        <f t="shared" si="1"/>
        <v>0</v>
      </c>
      <c r="K18">
        <f t="shared" si="2"/>
        <v>0</v>
      </c>
    </row>
    <row r="19" spans="1:18" x14ac:dyDescent="0.2">
      <c r="G19" s="5" t="s">
        <v>74</v>
      </c>
      <c r="H19" s="6">
        <v>0.95</v>
      </c>
      <c r="I19">
        <f t="shared" si="0"/>
        <v>0.95</v>
      </c>
      <c r="J19">
        <f t="shared" si="1"/>
        <v>0</v>
      </c>
      <c r="K19">
        <f t="shared" si="2"/>
        <v>0</v>
      </c>
    </row>
    <row r="20" spans="1:18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0.75</v>
      </c>
      <c r="I20">
        <f t="shared" si="0"/>
        <v>0.75</v>
      </c>
      <c r="J20">
        <f t="shared" si="1"/>
        <v>0</v>
      </c>
      <c r="K20">
        <f t="shared" si="2"/>
        <v>0</v>
      </c>
    </row>
    <row r="21" spans="1:18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41</v>
      </c>
      <c r="H21" s="6">
        <v>0.75</v>
      </c>
      <c r="I21">
        <f t="shared" si="0"/>
        <v>0.75</v>
      </c>
      <c r="J21">
        <f t="shared" si="1"/>
        <v>0</v>
      </c>
      <c r="K21">
        <f t="shared" si="2"/>
        <v>0</v>
      </c>
    </row>
    <row r="22" spans="1:18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11</v>
      </c>
      <c r="H22" s="6">
        <v>0.65</v>
      </c>
      <c r="I22">
        <f t="shared" si="0"/>
        <v>0.65</v>
      </c>
      <c r="J22">
        <f t="shared" si="1"/>
        <v>0</v>
      </c>
      <c r="K22">
        <f t="shared" si="2"/>
        <v>0</v>
      </c>
    </row>
    <row r="23" spans="1:18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53</v>
      </c>
      <c r="H23" s="6">
        <v>0.85</v>
      </c>
      <c r="I23">
        <f t="shared" si="0"/>
        <v>0.85</v>
      </c>
      <c r="J23">
        <f t="shared" si="1"/>
        <v>0</v>
      </c>
      <c r="K23">
        <f t="shared" si="2"/>
        <v>0</v>
      </c>
      <c r="R23" s="9"/>
    </row>
    <row r="24" spans="1:18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32</v>
      </c>
      <c r="H24" s="6">
        <v>0.75</v>
      </c>
      <c r="I24">
        <f t="shared" si="0"/>
        <v>0.75</v>
      </c>
      <c r="J24">
        <f t="shared" si="1"/>
        <v>0</v>
      </c>
      <c r="K24">
        <f t="shared" si="2"/>
        <v>0</v>
      </c>
    </row>
    <row r="25" spans="1:18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11</v>
      </c>
      <c r="H25" s="6">
        <v>0.65</v>
      </c>
      <c r="I25">
        <f t="shared" si="0"/>
        <v>0.65</v>
      </c>
      <c r="J25">
        <f t="shared" si="1"/>
        <v>0</v>
      </c>
      <c r="K25">
        <f t="shared" si="2"/>
        <v>0</v>
      </c>
    </row>
    <row r="26" spans="1:18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32</v>
      </c>
      <c r="H26" s="6">
        <v>0.75</v>
      </c>
      <c r="I26">
        <f t="shared" si="0"/>
        <v>0.75</v>
      </c>
      <c r="J26">
        <f t="shared" si="1"/>
        <v>0</v>
      </c>
      <c r="K26">
        <f t="shared" si="2"/>
        <v>0</v>
      </c>
    </row>
    <row r="27" spans="1:18" x14ac:dyDescent="0.2">
      <c r="G27" s="5" t="s">
        <v>53</v>
      </c>
      <c r="H27" s="6">
        <v>0.85</v>
      </c>
      <c r="I27">
        <f t="shared" si="0"/>
        <v>0.85</v>
      </c>
      <c r="J27">
        <f t="shared" si="1"/>
        <v>0</v>
      </c>
      <c r="K27">
        <f t="shared" si="2"/>
        <v>0</v>
      </c>
    </row>
    <row r="28" spans="1:18" x14ac:dyDescent="0.2">
      <c r="G28" s="5" t="s">
        <v>41</v>
      </c>
      <c r="H28" s="6">
        <v>0.65</v>
      </c>
      <c r="I28">
        <f t="shared" si="0"/>
        <v>0.75</v>
      </c>
      <c r="J28">
        <f t="shared" si="1"/>
        <v>-9.9999999999999978E-2</v>
      </c>
      <c r="K28">
        <f t="shared" si="2"/>
        <v>9.9999999999999978E-2</v>
      </c>
    </row>
    <row r="29" spans="1:18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53</v>
      </c>
      <c r="H29" s="6">
        <v>0.85</v>
      </c>
      <c r="I29">
        <f t="shared" si="0"/>
        <v>0.85</v>
      </c>
      <c r="J29">
        <f t="shared" si="1"/>
        <v>0</v>
      </c>
      <c r="K29">
        <f t="shared" si="2"/>
        <v>0</v>
      </c>
    </row>
    <row r="30" spans="1:18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11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</row>
    <row r="31" spans="1:18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11</v>
      </c>
      <c r="H31" s="6">
        <v>0.65</v>
      </c>
      <c r="I31">
        <f t="shared" si="0"/>
        <v>0.65</v>
      </c>
      <c r="J31">
        <f t="shared" si="1"/>
        <v>0</v>
      </c>
      <c r="K31">
        <f t="shared" si="2"/>
        <v>0</v>
      </c>
    </row>
    <row r="32" spans="1:18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62</v>
      </c>
      <c r="H32" s="6">
        <v>0.95</v>
      </c>
      <c r="I32">
        <f t="shared" si="0"/>
        <v>0.85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20</v>
      </c>
      <c r="H33" s="6">
        <v>0.65</v>
      </c>
      <c r="I33">
        <f t="shared" si="0"/>
        <v>0.65</v>
      </c>
      <c r="J33">
        <f t="shared" si="1"/>
        <v>0</v>
      </c>
      <c r="K33">
        <f t="shared" si="2"/>
        <v>0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0.65</v>
      </c>
      <c r="I34">
        <f t="shared" si="0"/>
        <v>0.65</v>
      </c>
      <c r="J34">
        <f t="shared" si="1"/>
        <v>0</v>
      </c>
      <c r="K34">
        <f t="shared" si="2"/>
        <v>0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62</v>
      </c>
      <c r="H35" s="6">
        <v>0.95</v>
      </c>
      <c r="I35">
        <f t="shared" si="0"/>
        <v>0.85</v>
      </c>
      <c r="J35">
        <f t="shared" si="1"/>
        <v>9.9999999999999978E-2</v>
      </c>
      <c r="K35">
        <f t="shared" si="2"/>
        <v>9.9999999999999978E-2</v>
      </c>
    </row>
    <row r="36" spans="1:11" x14ac:dyDescent="0.2">
      <c r="G36" s="5" t="s">
        <v>62</v>
      </c>
      <c r="H36" s="6">
        <v>0.85</v>
      </c>
      <c r="I36">
        <f t="shared" si="0"/>
        <v>0.85</v>
      </c>
      <c r="J36">
        <f t="shared" si="1"/>
        <v>0</v>
      </c>
      <c r="K36">
        <f t="shared" si="2"/>
        <v>0</v>
      </c>
    </row>
    <row r="37" spans="1:11" x14ac:dyDescent="0.2">
      <c r="G37" s="5" t="s">
        <v>74</v>
      </c>
      <c r="H37" s="6">
        <v>0.95</v>
      </c>
      <c r="I37">
        <f t="shared" si="0"/>
        <v>0.95</v>
      </c>
      <c r="J37">
        <f t="shared" si="1"/>
        <v>0</v>
      </c>
      <c r="K37">
        <f t="shared" si="2"/>
        <v>0</v>
      </c>
    </row>
    <row r="38" spans="1:11" x14ac:dyDescent="0.2">
      <c r="G38" s="5" t="s">
        <v>20</v>
      </c>
      <c r="H38" s="6">
        <v>0.65</v>
      </c>
      <c r="I38">
        <f t="shared" si="0"/>
        <v>0.65</v>
      </c>
      <c r="J38">
        <f t="shared" si="1"/>
        <v>0</v>
      </c>
      <c r="K38">
        <f t="shared" si="2"/>
        <v>0</v>
      </c>
    </row>
    <row r="39" spans="1:11" x14ac:dyDescent="0.2">
      <c r="G39" s="5" t="s">
        <v>53</v>
      </c>
      <c r="H39" s="6">
        <v>0.85</v>
      </c>
      <c r="I39">
        <f t="shared" si="0"/>
        <v>0.85</v>
      </c>
      <c r="J39">
        <f t="shared" si="1"/>
        <v>0</v>
      </c>
      <c r="K39">
        <f t="shared" si="2"/>
        <v>0</v>
      </c>
    </row>
    <row r="40" spans="1:11" x14ac:dyDescent="0.2">
      <c r="G40" s="5" t="s">
        <v>74</v>
      </c>
      <c r="H40" s="6">
        <v>0.95</v>
      </c>
      <c r="I40">
        <f t="shared" si="0"/>
        <v>0.95</v>
      </c>
      <c r="J40">
        <f t="shared" si="1"/>
        <v>0</v>
      </c>
      <c r="K40">
        <f t="shared" si="2"/>
        <v>0</v>
      </c>
    </row>
    <row r="41" spans="1:11" x14ac:dyDescent="0.2">
      <c r="G41" s="5" t="s">
        <v>83</v>
      </c>
      <c r="H41" s="6">
        <v>0.95</v>
      </c>
      <c r="I41">
        <f t="shared" si="0"/>
        <v>0.95</v>
      </c>
      <c r="J41">
        <f t="shared" si="1"/>
        <v>0</v>
      </c>
      <c r="K41">
        <f t="shared" si="2"/>
        <v>0</v>
      </c>
    </row>
    <row r="42" spans="1:11" x14ac:dyDescent="0.2">
      <c r="G42" s="5" t="s">
        <v>62</v>
      </c>
      <c r="H42" s="6">
        <v>0.65</v>
      </c>
      <c r="I42">
        <f t="shared" si="0"/>
        <v>0.85</v>
      </c>
      <c r="J42">
        <f t="shared" si="1"/>
        <v>-0.19999999999999996</v>
      </c>
      <c r="K42">
        <f t="shared" si="2"/>
        <v>0.19999999999999996</v>
      </c>
    </row>
    <row r="43" spans="1:11" x14ac:dyDescent="0.2">
      <c r="G43" s="5" t="s">
        <v>53</v>
      </c>
      <c r="H43" s="6">
        <v>0.85</v>
      </c>
      <c r="I43">
        <f t="shared" si="0"/>
        <v>0.85</v>
      </c>
      <c r="J43">
        <f t="shared" si="1"/>
        <v>0</v>
      </c>
      <c r="K43">
        <f t="shared" si="2"/>
        <v>0</v>
      </c>
    </row>
    <row r="44" spans="1:11" x14ac:dyDescent="0.2">
      <c r="G44" s="5" t="s">
        <v>20</v>
      </c>
      <c r="H44" s="6">
        <v>0.65</v>
      </c>
      <c r="I44">
        <f t="shared" si="0"/>
        <v>0.65</v>
      </c>
      <c r="J44">
        <f t="shared" si="1"/>
        <v>0</v>
      </c>
      <c r="K44">
        <f t="shared" si="2"/>
        <v>0</v>
      </c>
    </row>
    <row r="45" spans="1:11" x14ac:dyDescent="0.2">
      <c r="G45" s="5" t="s">
        <v>53</v>
      </c>
      <c r="H45" s="6">
        <v>0.75</v>
      </c>
      <c r="I45">
        <f t="shared" si="0"/>
        <v>0.85</v>
      </c>
      <c r="J45">
        <f t="shared" si="1"/>
        <v>-9.9999999999999978E-2</v>
      </c>
      <c r="K45">
        <f t="shared" si="2"/>
        <v>9.9999999999999978E-2</v>
      </c>
    </row>
    <row r="46" spans="1:11" x14ac:dyDescent="0.2">
      <c r="G46" s="5" t="s">
        <v>74</v>
      </c>
      <c r="H46" s="6">
        <v>0.95</v>
      </c>
      <c r="I46">
        <f t="shared" si="0"/>
        <v>0.95</v>
      </c>
      <c r="J46">
        <f t="shared" si="1"/>
        <v>0</v>
      </c>
      <c r="K46">
        <f t="shared" si="2"/>
        <v>0</v>
      </c>
    </row>
    <row r="47" spans="1:11" x14ac:dyDescent="0.2">
      <c r="G47" s="5" t="s">
        <v>83</v>
      </c>
      <c r="H47" s="6">
        <v>0.95</v>
      </c>
      <c r="I47">
        <f t="shared" si="0"/>
        <v>0.95</v>
      </c>
      <c r="J47">
        <f t="shared" si="1"/>
        <v>0</v>
      </c>
      <c r="K47">
        <f t="shared" si="2"/>
        <v>0</v>
      </c>
    </row>
    <row r="48" spans="1:11" x14ac:dyDescent="0.2">
      <c r="G48" s="5" t="s">
        <v>83</v>
      </c>
      <c r="H48" s="6">
        <v>0.95</v>
      </c>
      <c r="I48">
        <f t="shared" si="0"/>
        <v>0.95</v>
      </c>
      <c r="J48">
        <f t="shared" si="1"/>
        <v>0</v>
      </c>
      <c r="K48">
        <f t="shared" si="2"/>
        <v>0</v>
      </c>
    </row>
    <row r="49" spans="7:11" x14ac:dyDescent="0.2">
      <c r="G49" s="5" t="s">
        <v>11</v>
      </c>
      <c r="H49" s="6">
        <v>0.65</v>
      </c>
      <c r="I49">
        <f t="shared" si="0"/>
        <v>0.65</v>
      </c>
      <c r="J49">
        <f t="shared" si="1"/>
        <v>0</v>
      </c>
      <c r="K49">
        <f t="shared" si="2"/>
        <v>0</v>
      </c>
    </row>
    <row r="50" spans="7:11" x14ac:dyDescent="0.2">
      <c r="G50" s="5" t="s">
        <v>83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5" t="s">
        <v>62</v>
      </c>
      <c r="H51" s="6">
        <v>0.85</v>
      </c>
      <c r="I51">
        <f t="shared" si="0"/>
        <v>0.85</v>
      </c>
      <c r="J51">
        <f t="shared" si="1"/>
        <v>0</v>
      </c>
      <c r="K51">
        <f t="shared" si="2"/>
        <v>0</v>
      </c>
    </row>
    <row r="54" spans="7:11" x14ac:dyDescent="0.2">
      <c r="K54">
        <f>AVERAGE(K2:K51)/0.3</f>
        <v>5.3333333333333323E-2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67E7-3717-314D-9AFD-D4DE5044EF65}">
  <dimension ref="A1:R101"/>
  <sheetViews>
    <sheetView topLeftCell="A16" zoomScale="68" zoomScaleNormal="69" workbookViewId="0">
      <selection activeCell="M15" sqref="M15"/>
    </sheetView>
  </sheetViews>
  <sheetFormatPr baseColWidth="10" defaultRowHeight="16" x14ac:dyDescent="0.2"/>
  <cols>
    <col min="8" max="11" width="11" bestFit="1" customWidth="1"/>
    <col min="13" max="14" width="16.5" bestFit="1" customWidth="1"/>
    <col min="15" max="16" width="7.5" bestFit="1" customWidth="1"/>
    <col min="17" max="17" width="9" bestFit="1" customWidth="1"/>
    <col min="18" max="18" width="10.6640625" bestFit="1" customWidth="1"/>
    <col min="19" max="20" width="10.5" bestFit="1" customWidth="1"/>
    <col min="21" max="21" width="14.83203125" bestFit="1" customWidth="1"/>
    <col min="22" max="22" width="16" bestFit="1" customWidth="1"/>
    <col min="23" max="25" width="5.1640625" bestFit="1" customWidth="1"/>
    <col min="26" max="26" width="7" bestFit="1" customWidth="1"/>
    <col min="27" max="27" width="10.5" bestFit="1" customWidth="1"/>
  </cols>
  <sheetData>
    <row r="1" spans="1:13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13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74</v>
      </c>
      <c r="H2" s="6">
        <v>0.95</v>
      </c>
      <c r="I2">
        <f>_xlfn.XLOOKUP(G2,$C$2:$C$35,$A$2:$A$35)</f>
        <v>0.95</v>
      </c>
      <c r="J2">
        <f>((H2-I2))</f>
        <v>0</v>
      </c>
      <c r="K2">
        <f>IF(J2&gt;0,J2,-J2)</f>
        <v>0</v>
      </c>
    </row>
    <row r="3" spans="1:13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41</v>
      </c>
      <c r="H3" s="6">
        <v>0.75</v>
      </c>
      <c r="I3">
        <f t="shared" ref="I3:I66" si="0">_xlfn.XLOOKUP(G3,$C$2:$C$35,$A$2:$A$35)</f>
        <v>0.75</v>
      </c>
      <c r="J3">
        <f t="shared" ref="J3:J66" si="1">((H3-I3))</f>
        <v>0</v>
      </c>
      <c r="K3">
        <f t="shared" ref="K3:K66" si="2">IF(J3&gt;0,J3,-J3)</f>
        <v>0</v>
      </c>
    </row>
    <row r="4" spans="1:13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32</v>
      </c>
      <c r="H4" s="6">
        <v>0.75</v>
      </c>
      <c r="I4">
        <f t="shared" si="0"/>
        <v>0.75</v>
      </c>
      <c r="J4">
        <f t="shared" si="1"/>
        <v>0</v>
      </c>
      <c r="K4">
        <f t="shared" si="2"/>
        <v>0</v>
      </c>
    </row>
    <row r="5" spans="1:13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0.85</v>
      </c>
      <c r="I5">
        <f t="shared" si="0"/>
        <v>0.85</v>
      </c>
      <c r="J5">
        <f t="shared" si="1"/>
        <v>0</v>
      </c>
      <c r="K5">
        <f t="shared" si="2"/>
        <v>0</v>
      </c>
    </row>
    <row r="6" spans="1:13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20</v>
      </c>
      <c r="H6" s="6">
        <v>0.65</v>
      </c>
      <c r="I6">
        <f t="shared" si="0"/>
        <v>0.65</v>
      </c>
      <c r="J6">
        <f t="shared" si="1"/>
        <v>0</v>
      </c>
      <c r="K6">
        <f t="shared" si="2"/>
        <v>0</v>
      </c>
    </row>
    <row r="7" spans="1:13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41</v>
      </c>
      <c r="H7" s="6">
        <v>0.75</v>
      </c>
      <c r="I7">
        <f t="shared" si="0"/>
        <v>0.75</v>
      </c>
      <c r="J7">
        <f t="shared" si="1"/>
        <v>0</v>
      </c>
      <c r="K7">
        <f t="shared" si="2"/>
        <v>0</v>
      </c>
    </row>
    <row r="8" spans="1:13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83</v>
      </c>
      <c r="H8" s="6">
        <v>0.95</v>
      </c>
      <c r="I8">
        <f t="shared" si="0"/>
        <v>0.95</v>
      </c>
      <c r="J8">
        <f t="shared" si="1"/>
        <v>0</v>
      </c>
      <c r="K8">
        <f t="shared" si="2"/>
        <v>0</v>
      </c>
    </row>
    <row r="9" spans="1:13" x14ac:dyDescent="0.2">
      <c r="G9" s="5" t="s">
        <v>53</v>
      </c>
      <c r="H9" s="6">
        <v>0.85</v>
      </c>
      <c r="I9">
        <f t="shared" si="0"/>
        <v>0.85</v>
      </c>
      <c r="J9">
        <f t="shared" si="1"/>
        <v>0</v>
      </c>
      <c r="K9">
        <f t="shared" si="2"/>
        <v>0</v>
      </c>
    </row>
    <row r="10" spans="1:13" x14ac:dyDescent="0.2">
      <c r="G10" s="5" t="s">
        <v>83</v>
      </c>
      <c r="H10" s="6">
        <v>0.95</v>
      </c>
      <c r="I10">
        <f t="shared" si="0"/>
        <v>0.95</v>
      </c>
      <c r="J10">
        <f t="shared" si="1"/>
        <v>0</v>
      </c>
      <c r="K10">
        <f t="shared" si="2"/>
        <v>0</v>
      </c>
    </row>
    <row r="11" spans="1:13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53</v>
      </c>
      <c r="H11" s="6">
        <v>0.85</v>
      </c>
      <c r="I11">
        <f t="shared" si="0"/>
        <v>0.85</v>
      </c>
      <c r="J11">
        <f t="shared" si="1"/>
        <v>0</v>
      </c>
      <c r="K11">
        <f t="shared" si="2"/>
        <v>0</v>
      </c>
    </row>
    <row r="12" spans="1:13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83</v>
      </c>
      <c r="H12" s="6">
        <v>0.95</v>
      </c>
      <c r="I12">
        <f t="shared" si="0"/>
        <v>0.95</v>
      </c>
      <c r="J12">
        <f t="shared" si="1"/>
        <v>0</v>
      </c>
      <c r="K12">
        <f t="shared" si="2"/>
        <v>0</v>
      </c>
    </row>
    <row r="13" spans="1:13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53</v>
      </c>
      <c r="H13" s="6">
        <v>0.85</v>
      </c>
      <c r="I13">
        <f t="shared" si="0"/>
        <v>0.85</v>
      </c>
      <c r="J13">
        <f t="shared" si="1"/>
        <v>0</v>
      </c>
      <c r="K13">
        <f t="shared" si="2"/>
        <v>0</v>
      </c>
    </row>
    <row r="14" spans="1:13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0.85</v>
      </c>
      <c r="I14">
        <f t="shared" si="0"/>
        <v>0.85</v>
      </c>
      <c r="J14">
        <f t="shared" si="1"/>
        <v>0</v>
      </c>
      <c r="K14">
        <f t="shared" si="2"/>
        <v>0</v>
      </c>
    </row>
    <row r="15" spans="1:13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83</v>
      </c>
      <c r="H15" s="6">
        <v>0.95</v>
      </c>
      <c r="I15">
        <f t="shared" si="0"/>
        <v>0.95</v>
      </c>
      <c r="J15">
        <f t="shared" si="1"/>
        <v>0</v>
      </c>
      <c r="K15">
        <f t="shared" si="2"/>
        <v>0</v>
      </c>
      <c r="M15">
        <f>AVERAGE(K2:K101)/0.3</f>
        <v>2.6666666666666661E-2</v>
      </c>
    </row>
    <row r="16" spans="1:13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11</v>
      </c>
      <c r="H16" s="6">
        <v>0.65</v>
      </c>
      <c r="I16">
        <f t="shared" si="0"/>
        <v>0.65</v>
      </c>
      <c r="J16">
        <f t="shared" si="1"/>
        <v>0</v>
      </c>
      <c r="K16">
        <f t="shared" si="2"/>
        <v>0</v>
      </c>
    </row>
    <row r="17" spans="1:18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53</v>
      </c>
      <c r="H17" s="6">
        <v>0.85</v>
      </c>
      <c r="I17">
        <f t="shared" si="0"/>
        <v>0.85</v>
      </c>
      <c r="J17">
        <f t="shared" si="1"/>
        <v>0</v>
      </c>
      <c r="K17">
        <f t="shared" si="2"/>
        <v>0</v>
      </c>
    </row>
    <row r="18" spans="1:18" x14ac:dyDescent="0.2">
      <c r="G18" s="5" t="s">
        <v>74</v>
      </c>
      <c r="H18" s="6">
        <v>0.95</v>
      </c>
      <c r="I18">
        <f t="shared" si="0"/>
        <v>0.95</v>
      </c>
      <c r="J18">
        <f t="shared" si="1"/>
        <v>0</v>
      </c>
      <c r="K18">
        <f t="shared" si="2"/>
        <v>0</v>
      </c>
    </row>
    <row r="19" spans="1:18" x14ac:dyDescent="0.2">
      <c r="G19" s="5" t="s">
        <v>11</v>
      </c>
      <c r="H19" s="6">
        <v>0.65</v>
      </c>
      <c r="I19">
        <f t="shared" si="0"/>
        <v>0.65</v>
      </c>
      <c r="J19">
        <f t="shared" si="1"/>
        <v>0</v>
      </c>
      <c r="K19">
        <f t="shared" si="2"/>
        <v>0</v>
      </c>
    </row>
    <row r="20" spans="1:18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0.75</v>
      </c>
      <c r="I20">
        <f t="shared" si="0"/>
        <v>0.75</v>
      </c>
      <c r="J20">
        <f t="shared" si="1"/>
        <v>0</v>
      </c>
      <c r="K20">
        <f t="shared" si="2"/>
        <v>0</v>
      </c>
    </row>
    <row r="21" spans="1:18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32</v>
      </c>
      <c r="H21" s="6">
        <v>0.85</v>
      </c>
      <c r="I21">
        <f t="shared" si="0"/>
        <v>0.75</v>
      </c>
      <c r="J21">
        <f t="shared" si="1"/>
        <v>9.9999999999999978E-2</v>
      </c>
      <c r="K21">
        <f t="shared" si="2"/>
        <v>9.9999999999999978E-2</v>
      </c>
    </row>
    <row r="22" spans="1:18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20</v>
      </c>
      <c r="H22" s="6">
        <v>0.65</v>
      </c>
      <c r="I22">
        <f t="shared" si="0"/>
        <v>0.65</v>
      </c>
      <c r="J22">
        <f t="shared" si="1"/>
        <v>0</v>
      </c>
      <c r="K22">
        <f t="shared" si="2"/>
        <v>0</v>
      </c>
    </row>
    <row r="23" spans="1:18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74</v>
      </c>
      <c r="H23" s="6">
        <v>0.95</v>
      </c>
      <c r="I23">
        <f t="shared" si="0"/>
        <v>0.95</v>
      </c>
      <c r="J23">
        <f t="shared" si="1"/>
        <v>0</v>
      </c>
      <c r="K23">
        <f t="shared" si="2"/>
        <v>0</v>
      </c>
      <c r="M23" s="7" t="s">
        <v>97</v>
      </c>
      <c r="N23" s="7" t="s">
        <v>94</v>
      </c>
    </row>
    <row r="24" spans="1:18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74</v>
      </c>
      <c r="H24" s="6">
        <v>0.95</v>
      </c>
      <c r="I24">
        <f t="shared" si="0"/>
        <v>0.95</v>
      </c>
      <c r="J24">
        <f t="shared" si="1"/>
        <v>0</v>
      </c>
      <c r="K24">
        <f t="shared" si="2"/>
        <v>0</v>
      </c>
      <c r="M24" s="7" t="s">
        <v>93</v>
      </c>
      <c r="N24">
        <v>0.65</v>
      </c>
      <c r="O24">
        <v>0.75</v>
      </c>
      <c r="P24">
        <v>0.85</v>
      </c>
      <c r="Q24">
        <v>0.95</v>
      </c>
      <c r="R24" t="s">
        <v>92</v>
      </c>
    </row>
    <row r="25" spans="1:18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41</v>
      </c>
      <c r="H25" s="6">
        <v>0.75</v>
      </c>
      <c r="I25">
        <f t="shared" si="0"/>
        <v>0.75</v>
      </c>
      <c r="J25">
        <f t="shared" si="1"/>
        <v>0</v>
      </c>
      <c r="K25">
        <f t="shared" si="2"/>
        <v>0</v>
      </c>
      <c r="M25" s="8">
        <v>0.65</v>
      </c>
      <c r="N25" s="14">
        <v>1</v>
      </c>
      <c r="O25" s="9">
        <v>0</v>
      </c>
      <c r="P25" s="9">
        <v>0</v>
      </c>
      <c r="Q25" s="9">
        <v>0</v>
      </c>
      <c r="R25" s="9">
        <v>1</v>
      </c>
    </row>
    <row r="26" spans="1:18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62</v>
      </c>
      <c r="H26" s="6">
        <v>0.75</v>
      </c>
      <c r="I26">
        <f t="shared" si="0"/>
        <v>0.85</v>
      </c>
      <c r="J26">
        <f t="shared" si="1"/>
        <v>-9.9999999999999978E-2</v>
      </c>
      <c r="K26">
        <f t="shared" si="2"/>
        <v>9.9999999999999978E-2</v>
      </c>
      <c r="M26" s="8">
        <v>0.75</v>
      </c>
      <c r="N26" s="9">
        <v>0</v>
      </c>
      <c r="O26" s="14">
        <v>0.88888888888888884</v>
      </c>
      <c r="P26" s="16">
        <v>0.1111111111111111</v>
      </c>
      <c r="Q26" s="9">
        <v>0</v>
      </c>
      <c r="R26" s="9">
        <v>1</v>
      </c>
    </row>
    <row r="27" spans="1:18" x14ac:dyDescent="0.2">
      <c r="G27" s="5" t="s">
        <v>83</v>
      </c>
      <c r="H27" s="6">
        <v>0.95</v>
      </c>
      <c r="I27">
        <f t="shared" si="0"/>
        <v>0.95</v>
      </c>
      <c r="J27">
        <f t="shared" si="1"/>
        <v>0</v>
      </c>
      <c r="K27">
        <f t="shared" si="2"/>
        <v>0</v>
      </c>
      <c r="M27" s="8">
        <v>0.85</v>
      </c>
      <c r="N27" s="9">
        <v>0</v>
      </c>
      <c r="O27" s="16">
        <v>0.13333333333333333</v>
      </c>
      <c r="P27" s="14">
        <v>0.66666666666666663</v>
      </c>
      <c r="Q27" s="16">
        <v>0.2</v>
      </c>
      <c r="R27" s="9">
        <v>1</v>
      </c>
    </row>
    <row r="28" spans="1:18" x14ac:dyDescent="0.2">
      <c r="G28" s="5" t="s">
        <v>41</v>
      </c>
      <c r="H28" s="6">
        <v>0.75</v>
      </c>
      <c r="I28">
        <f t="shared" si="0"/>
        <v>0.75</v>
      </c>
      <c r="J28">
        <f t="shared" si="1"/>
        <v>0</v>
      </c>
      <c r="K28">
        <f t="shared" si="2"/>
        <v>0</v>
      </c>
      <c r="M28" s="8">
        <v>0.95</v>
      </c>
      <c r="N28" s="9">
        <v>0</v>
      </c>
      <c r="O28" s="9">
        <v>0</v>
      </c>
      <c r="P28" s="16">
        <v>7.1428571428571425E-2</v>
      </c>
      <c r="Q28" s="14">
        <v>0.9285714285714286</v>
      </c>
      <c r="R28" s="9">
        <v>1</v>
      </c>
    </row>
    <row r="29" spans="1:18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53</v>
      </c>
      <c r="H29" s="6">
        <v>0.85</v>
      </c>
      <c r="I29">
        <f t="shared" si="0"/>
        <v>0.85</v>
      </c>
      <c r="J29">
        <f t="shared" si="1"/>
        <v>0</v>
      </c>
      <c r="K29">
        <f t="shared" si="2"/>
        <v>0</v>
      </c>
      <c r="M29" s="8" t="s">
        <v>92</v>
      </c>
      <c r="N29" s="9">
        <v>0.24</v>
      </c>
      <c r="O29" s="9">
        <v>0.2</v>
      </c>
      <c r="P29" s="9">
        <v>0.24</v>
      </c>
      <c r="Q29" s="9">
        <v>0.32</v>
      </c>
      <c r="R29" s="9">
        <v>1</v>
      </c>
    </row>
    <row r="30" spans="1:18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74</v>
      </c>
      <c r="H30" s="6">
        <v>0.95</v>
      </c>
      <c r="I30">
        <f t="shared" si="0"/>
        <v>0.95</v>
      </c>
      <c r="J30">
        <f t="shared" si="1"/>
        <v>0</v>
      </c>
      <c r="K30">
        <f t="shared" si="2"/>
        <v>0</v>
      </c>
    </row>
    <row r="31" spans="1:18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83</v>
      </c>
      <c r="H31" s="6">
        <v>0.95</v>
      </c>
      <c r="I31">
        <f t="shared" si="0"/>
        <v>0.95</v>
      </c>
      <c r="J31">
        <f t="shared" si="1"/>
        <v>0</v>
      </c>
      <c r="K31">
        <f t="shared" si="2"/>
        <v>0</v>
      </c>
      <c r="M31" s="7" t="s">
        <v>97</v>
      </c>
      <c r="N31" s="7" t="s">
        <v>94</v>
      </c>
    </row>
    <row r="32" spans="1:18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83</v>
      </c>
      <c r="H32" s="6">
        <v>0.95</v>
      </c>
      <c r="I32">
        <f t="shared" si="0"/>
        <v>0.95</v>
      </c>
      <c r="J32">
        <f t="shared" si="1"/>
        <v>0</v>
      </c>
      <c r="K32">
        <f t="shared" si="2"/>
        <v>0</v>
      </c>
      <c r="M32" s="7" t="s">
        <v>98</v>
      </c>
      <c r="N32">
        <v>0.65</v>
      </c>
      <c r="O32">
        <v>0.75</v>
      </c>
      <c r="P32">
        <v>0.85</v>
      </c>
      <c r="Q32">
        <v>0.95</v>
      </c>
      <c r="R32" t="s">
        <v>92</v>
      </c>
    </row>
    <row r="33" spans="1:18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41</v>
      </c>
      <c r="H33" s="6">
        <v>0.75</v>
      </c>
      <c r="I33">
        <f t="shared" si="0"/>
        <v>0.75</v>
      </c>
      <c r="J33">
        <f t="shared" si="1"/>
        <v>0</v>
      </c>
      <c r="K33">
        <f t="shared" si="2"/>
        <v>0</v>
      </c>
      <c r="M33" s="8">
        <v>0.65</v>
      </c>
      <c r="N33" s="14">
        <v>1</v>
      </c>
      <c r="O33" s="9">
        <v>0</v>
      </c>
      <c r="P33" s="9">
        <v>0</v>
      </c>
      <c r="Q33" s="9">
        <v>0</v>
      </c>
      <c r="R33" s="9">
        <v>1</v>
      </c>
    </row>
    <row r="34" spans="1:18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32</v>
      </c>
      <c r="H34" s="6">
        <v>0.75</v>
      </c>
      <c r="I34">
        <f t="shared" si="0"/>
        <v>0.75</v>
      </c>
      <c r="J34">
        <f t="shared" si="1"/>
        <v>0</v>
      </c>
      <c r="K34">
        <f t="shared" si="2"/>
        <v>0</v>
      </c>
      <c r="M34" s="8">
        <v>0.75</v>
      </c>
      <c r="N34" s="9">
        <v>0</v>
      </c>
      <c r="O34" s="14">
        <v>0.81818181818181823</v>
      </c>
      <c r="P34" s="9">
        <v>0.18181818181818182</v>
      </c>
      <c r="Q34" s="9">
        <v>0</v>
      </c>
      <c r="R34" s="9">
        <v>1</v>
      </c>
    </row>
    <row r="35" spans="1:18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53</v>
      </c>
      <c r="H35" s="6">
        <v>0.85</v>
      </c>
      <c r="I35">
        <f t="shared" si="0"/>
        <v>0.85</v>
      </c>
      <c r="J35">
        <f t="shared" si="1"/>
        <v>0</v>
      </c>
      <c r="K35">
        <f t="shared" si="2"/>
        <v>0</v>
      </c>
      <c r="M35" s="8">
        <v>0.85</v>
      </c>
      <c r="N35" s="9">
        <v>0</v>
      </c>
      <c r="O35" s="9">
        <v>7.6923076923076927E-2</v>
      </c>
      <c r="P35" s="14">
        <v>0.84615384615384615</v>
      </c>
      <c r="Q35" s="9">
        <v>7.6923076923076927E-2</v>
      </c>
      <c r="R35" s="9">
        <v>1</v>
      </c>
    </row>
    <row r="36" spans="1:18" x14ac:dyDescent="0.2">
      <c r="G36" s="5" t="s">
        <v>53</v>
      </c>
      <c r="H36" s="6">
        <v>0.85</v>
      </c>
      <c r="I36">
        <f t="shared" si="0"/>
        <v>0.85</v>
      </c>
      <c r="J36">
        <f t="shared" si="1"/>
        <v>0</v>
      </c>
      <c r="K36">
        <f t="shared" si="2"/>
        <v>0</v>
      </c>
      <c r="M36" s="8">
        <v>0.95</v>
      </c>
      <c r="N36" s="9">
        <v>0</v>
      </c>
      <c r="O36" s="9">
        <v>0</v>
      </c>
      <c r="P36" s="9">
        <v>7.1428571428571425E-2</v>
      </c>
      <c r="Q36" s="14">
        <v>0.9285714285714286</v>
      </c>
      <c r="R36" s="9">
        <v>1</v>
      </c>
    </row>
    <row r="37" spans="1:18" x14ac:dyDescent="0.2">
      <c r="G37" s="5" t="s">
        <v>62</v>
      </c>
      <c r="H37" s="6">
        <v>0.85</v>
      </c>
      <c r="I37">
        <f t="shared" si="0"/>
        <v>0.85</v>
      </c>
      <c r="J37">
        <f t="shared" si="1"/>
        <v>0</v>
      </c>
      <c r="K37">
        <f t="shared" si="2"/>
        <v>0</v>
      </c>
      <c r="M37" s="8" t="s">
        <v>92</v>
      </c>
      <c r="N37" s="9">
        <v>0.24</v>
      </c>
      <c r="O37" s="9">
        <v>0.2</v>
      </c>
      <c r="P37" s="9">
        <v>0.28000000000000003</v>
      </c>
      <c r="Q37" s="9">
        <v>0.28000000000000003</v>
      </c>
      <c r="R37" s="9">
        <v>1</v>
      </c>
    </row>
    <row r="38" spans="1:18" x14ac:dyDescent="0.2">
      <c r="G38" s="5" t="s">
        <v>83</v>
      </c>
      <c r="H38" s="6">
        <v>0.95</v>
      </c>
      <c r="I38">
        <f t="shared" si="0"/>
        <v>0.95</v>
      </c>
      <c r="J38">
        <f t="shared" si="1"/>
        <v>0</v>
      </c>
      <c r="K38">
        <f t="shared" si="2"/>
        <v>0</v>
      </c>
    </row>
    <row r="39" spans="1:18" x14ac:dyDescent="0.2">
      <c r="G39" s="5" t="s">
        <v>53</v>
      </c>
      <c r="H39" s="6">
        <v>0.85</v>
      </c>
      <c r="I39">
        <f t="shared" si="0"/>
        <v>0.85</v>
      </c>
      <c r="J39">
        <f t="shared" si="1"/>
        <v>0</v>
      </c>
      <c r="K39">
        <f t="shared" si="2"/>
        <v>0</v>
      </c>
    </row>
    <row r="40" spans="1:18" x14ac:dyDescent="0.2">
      <c r="G40" s="5" t="s">
        <v>11</v>
      </c>
      <c r="H40" s="6">
        <v>0.65</v>
      </c>
      <c r="I40">
        <f t="shared" si="0"/>
        <v>0.65</v>
      </c>
      <c r="J40">
        <f t="shared" si="1"/>
        <v>0</v>
      </c>
      <c r="K40">
        <f t="shared" si="2"/>
        <v>0</v>
      </c>
    </row>
    <row r="41" spans="1:18" x14ac:dyDescent="0.2">
      <c r="G41" s="5" t="s">
        <v>20</v>
      </c>
      <c r="H41" s="6">
        <v>0.75</v>
      </c>
      <c r="I41">
        <f t="shared" si="0"/>
        <v>0.65</v>
      </c>
      <c r="J41">
        <f t="shared" si="1"/>
        <v>9.9999999999999978E-2</v>
      </c>
      <c r="K41">
        <f t="shared" si="2"/>
        <v>9.9999999999999978E-2</v>
      </c>
      <c r="M41" s="7" t="s">
        <v>97</v>
      </c>
      <c r="N41" s="7" t="s">
        <v>94</v>
      </c>
    </row>
    <row r="42" spans="1:18" x14ac:dyDescent="0.2">
      <c r="G42" s="5" t="s">
        <v>62</v>
      </c>
      <c r="H42" s="6">
        <v>0.95</v>
      </c>
      <c r="I42">
        <f t="shared" si="0"/>
        <v>0.85</v>
      </c>
      <c r="J42">
        <f t="shared" si="1"/>
        <v>9.9999999999999978E-2</v>
      </c>
      <c r="K42">
        <f t="shared" si="2"/>
        <v>9.9999999999999978E-2</v>
      </c>
      <c r="M42" s="7" t="s">
        <v>93</v>
      </c>
      <c r="N42">
        <v>0.65</v>
      </c>
      <c r="O42">
        <v>0.75</v>
      </c>
      <c r="P42">
        <v>0.85</v>
      </c>
      <c r="Q42">
        <v>0.95</v>
      </c>
      <c r="R42" t="s">
        <v>92</v>
      </c>
    </row>
    <row r="43" spans="1:18" x14ac:dyDescent="0.2">
      <c r="G43" s="5" t="s">
        <v>62</v>
      </c>
      <c r="H43" s="6">
        <v>0.75</v>
      </c>
      <c r="I43">
        <f t="shared" si="0"/>
        <v>0.85</v>
      </c>
      <c r="J43">
        <f t="shared" si="1"/>
        <v>-9.9999999999999978E-2</v>
      </c>
      <c r="K43">
        <f t="shared" si="2"/>
        <v>9.9999999999999978E-2</v>
      </c>
      <c r="M43" s="8">
        <v>0.65</v>
      </c>
      <c r="N43" s="14">
        <v>0.96</v>
      </c>
      <c r="O43" s="16">
        <v>0.04</v>
      </c>
      <c r="P43" s="9">
        <v>0</v>
      </c>
      <c r="Q43" s="9">
        <v>0</v>
      </c>
      <c r="R43" s="9">
        <v>1</v>
      </c>
    </row>
    <row r="44" spans="1:18" x14ac:dyDescent="0.2">
      <c r="G44" s="5" t="s">
        <v>53</v>
      </c>
      <c r="H44" s="6">
        <v>0.85</v>
      </c>
      <c r="I44">
        <f t="shared" si="0"/>
        <v>0.85</v>
      </c>
      <c r="J44">
        <f t="shared" si="1"/>
        <v>0</v>
      </c>
      <c r="K44">
        <f t="shared" si="2"/>
        <v>0</v>
      </c>
      <c r="M44" s="8">
        <v>0.75</v>
      </c>
      <c r="N44" s="9">
        <v>0</v>
      </c>
      <c r="O44" s="14">
        <v>0.90909090909090906</v>
      </c>
      <c r="P44" s="16">
        <v>9.0909090909090912E-2</v>
      </c>
      <c r="Q44" s="9">
        <v>0</v>
      </c>
      <c r="R44" s="9">
        <v>1</v>
      </c>
    </row>
    <row r="45" spans="1:18" x14ac:dyDescent="0.2">
      <c r="G45" s="5" t="s">
        <v>20</v>
      </c>
      <c r="H45" s="6">
        <v>0.65</v>
      </c>
      <c r="I45">
        <f t="shared" si="0"/>
        <v>0.65</v>
      </c>
      <c r="J45">
        <f t="shared" si="1"/>
        <v>0</v>
      </c>
      <c r="K45">
        <f t="shared" si="2"/>
        <v>0</v>
      </c>
      <c r="M45" s="8">
        <v>0.85</v>
      </c>
      <c r="N45" s="9">
        <v>0</v>
      </c>
      <c r="O45" s="16">
        <v>0.10344827586206896</v>
      </c>
      <c r="P45" s="14">
        <v>0.82758620689655171</v>
      </c>
      <c r="Q45" s="16">
        <v>6.8965517241379309E-2</v>
      </c>
      <c r="R45" s="9">
        <v>1</v>
      </c>
    </row>
    <row r="46" spans="1:18" x14ac:dyDescent="0.2">
      <c r="G46" s="5" t="s">
        <v>32</v>
      </c>
      <c r="H46" s="6">
        <v>0.75</v>
      </c>
      <c r="I46">
        <f t="shared" si="0"/>
        <v>0.75</v>
      </c>
      <c r="J46">
        <f t="shared" si="1"/>
        <v>0</v>
      </c>
      <c r="K46">
        <f t="shared" si="2"/>
        <v>0</v>
      </c>
      <c r="M46" s="8">
        <v>0.95</v>
      </c>
      <c r="N46" s="9">
        <v>0</v>
      </c>
      <c r="O46" s="9">
        <v>0</v>
      </c>
      <c r="P46" s="9">
        <v>0</v>
      </c>
      <c r="Q46" s="14">
        <v>1</v>
      </c>
      <c r="R46" s="9">
        <v>1</v>
      </c>
    </row>
    <row r="47" spans="1:18" x14ac:dyDescent="0.2">
      <c r="G47" s="5" t="s">
        <v>32</v>
      </c>
      <c r="H47" s="6">
        <v>0.75</v>
      </c>
      <c r="I47">
        <f t="shared" si="0"/>
        <v>0.75</v>
      </c>
      <c r="J47">
        <f t="shared" si="1"/>
        <v>0</v>
      </c>
      <c r="K47">
        <f t="shared" si="2"/>
        <v>0</v>
      </c>
      <c r="M47" s="8" t="s">
        <v>92</v>
      </c>
      <c r="N47" s="9">
        <v>0.24</v>
      </c>
      <c r="O47" s="9">
        <v>0.24</v>
      </c>
      <c r="P47" s="9">
        <v>0.26</v>
      </c>
      <c r="Q47" s="9">
        <v>0.26</v>
      </c>
      <c r="R47" s="9">
        <v>1</v>
      </c>
    </row>
    <row r="48" spans="1:18" x14ac:dyDescent="0.2">
      <c r="G48" s="5" t="s">
        <v>20</v>
      </c>
      <c r="H48" s="6">
        <v>0.65</v>
      </c>
      <c r="I48">
        <f t="shared" si="0"/>
        <v>0.65</v>
      </c>
      <c r="J48">
        <f t="shared" si="1"/>
        <v>0</v>
      </c>
      <c r="K48">
        <f t="shared" si="2"/>
        <v>0</v>
      </c>
    </row>
    <row r="49" spans="7:11" x14ac:dyDescent="0.2">
      <c r="G49" s="5" t="s">
        <v>20</v>
      </c>
      <c r="H49" s="6">
        <v>0.65</v>
      </c>
      <c r="I49">
        <f t="shared" si="0"/>
        <v>0.65</v>
      </c>
      <c r="J49">
        <f t="shared" si="1"/>
        <v>0</v>
      </c>
      <c r="K49">
        <f t="shared" si="2"/>
        <v>0</v>
      </c>
    </row>
    <row r="50" spans="7:11" x14ac:dyDescent="0.2">
      <c r="G50" s="5" t="s">
        <v>83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5" t="s">
        <v>74</v>
      </c>
      <c r="H51" s="6">
        <v>0.95</v>
      </c>
      <c r="I51">
        <f t="shared" si="0"/>
        <v>0.95</v>
      </c>
      <c r="J51">
        <f t="shared" si="1"/>
        <v>0</v>
      </c>
      <c r="K51">
        <f t="shared" si="2"/>
        <v>0</v>
      </c>
    </row>
    <row r="52" spans="7:11" x14ac:dyDescent="0.2">
      <c r="G52" s="5" t="s">
        <v>11</v>
      </c>
      <c r="H52" s="6">
        <v>0.65</v>
      </c>
      <c r="I52">
        <f t="shared" si="0"/>
        <v>0.65</v>
      </c>
      <c r="J52">
        <f t="shared" si="1"/>
        <v>0</v>
      </c>
      <c r="K52">
        <f t="shared" si="2"/>
        <v>0</v>
      </c>
    </row>
    <row r="53" spans="7:11" x14ac:dyDescent="0.2">
      <c r="G53" s="5" t="s">
        <v>11</v>
      </c>
      <c r="H53" s="6">
        <v>0.65</v>
      </c>
      <c r="I53">
        <f t="shared" si="0"/>
        <v>0.65</v>
      </c>
      <c r="J53">
        <f t="shared" si="1"/>
        <v>0</v>
      </c>
      <c r="K53">
        <f t="shared" si="2"/>
        <v>0</v>
      </c>
    </row>
    <row r="54" spans="7:11" x14ac:dyDescent="0.2">
      <c r="G54" s="5" t="s">
        <v>74</v>
      </c>
      <c r="H54" s="6">
        <v>0.95</v>
      </c>
      <c r="I54">
        <f t="shared" si="0"/>
        <v>0.95</v>
      </c>
      <c r="J54">
        <f t="shared" si="1"/>
        <v>0</v>
      </c>
      <c r="K54">
        <f t="shared" si="2"/>
        <v>0</v>
      </c>
    </row>
    <row r="55" spans="7:11" x14ac:dyDescent="0.2">
      <c r="G55" s="5" t="s">
        <v>11</v>
      </c>
      <c r="H55" s="6">
        <v>0.65</v>
      </c>
      <c r="I55">
        <f t="shared" si="0"/>
        <v>0.65</v>
      </c>
      <c r="J55">
        <f t="shared" si="1"/>
        <v>0</v>
      </c>
      <c r="K55">
        <f t="shared" si="2"/>
        <v>0</v>
      </c>
    </row>
    <row r="56" spans="7:11" x14ac:dyDescent="0.2">
      <c r="G56" s="5" t="s">
        <v>53</v>
      </c>
      <c r="H56" s="6">
        <v>0.85</v>
      </c>
      <c r="I56">
        <f t="shared" si="0"/>
        <v>0.85</v>
      </c>
      <c r="J56">
        <f t="shared" si="1"/>
        <v>0</v>
      </c>
      <c r="K56">
        <f t="shared" si="2"/>
        <v>0</v>
      </c>
    </row>
    <row r="57" spans="7:11" x14ac:dyDescent="0.2">
      <c r="G57" s="5" t="s">
        <v>62</v>
      </c>
      <c r="H57" s="6">
        <v>0.75</v>
      </c>
      <c r="I57">
        <f t="shared" si="0"/>
        <v>0.85</v>
      </c>
      <c r="J57">
        <f t="shared" si="1"/>
        <v>-9.9999999999999978E-2</v>
      </c>
      <c r="K57">
        <f t="shared" si="2"/>
        <v>9.9999999999999978E-2</v>
      </c>
    </row>
    <row r="58" spans="7:11" x14ac:dyDescent="0.2">
      <c r="G58" s="5" t="s">
        <v>20</v>
      </c>
      <c r="H58" s="6">
        <v>0.65</v>
      </c>
      <c r="I58">
        <f t="shared" si="0"/>
        <v>0.65</v>
      </c>
      <c r="J58">
        <f t="shared" si="1"/>
        <v>0</v>
      </c>
      <c r="K58">
        <f t="shared" si="2"/>
        <v>0</v>
      </c>
    </row>
    <row r="59" spans="7:11" x14ac:dyDescent="0.2">
      <c r="G59" s="5" t="s">
        <v>74</v>
      </c>
      <c r="H59" s="6">
        <v>0.95</v>
      </c>
      <c r="I59">
        <f t="shared" si="0"/>
        <v>0.95</v>
      </c>
      <c r="J59">
        <f t="shared" si="1"/>
        <v>0</v>
      </c>
      <c r="K59">
        <f t="shared" si="2"/>
        <v>0</v>
      </c>
    </row>
    <row r="60" spans="7:11" x14ac:dyDescent="0.2">
      <c r="G60" s="5" t="s">
        <v>53</v>
      </c>
      <c r="H60" s="6">
        <v>0.85</v>
      </c>
      <c r="I60">
        <f t="shared" si="0"/>
        <v>0.85</v>
      </c>
      <c r="J60">
        <f t="shared" si="1"/>
        <v>0</v>
      </c>
      <c r="K60">
        <f t="shared" si="2"/>
        <v>0</v>
      </c>
    </row>
    <row r="61" spans="7:11" x14ac:dyDescent="0.2">
      <c r="G61" s="5" t="s">
        <v>62</v>
      </c>
      <c r="H61" s="6">
        <v>0.85</v>
      </c>
      <c r="I61">
        <f t="shared" si="0"/>
        <v>0.85</v>
      </c>
      <c r="J61">
        <f t="shared" si="1"/>
        <v>0</v>
      </c>
      <c r="K61">
        <f t="shared" si="2"/>
        <v>0</v>
      </c>
    </row>
    <row r="62" spans="7:11" x14ac:dyDescent="0.2">
      <c r="G62" s="5" t="s">
        <v>41</v>
      </c>
      <c r="H62" s="6">
        <v>0.75</v>
      </c>
      <c r="I62">
        <f t="shared" si="0"/>
        <v>0.75</v>
      </c>
      <c r="J62">
        <f t="shared" si="1"/>
        <v>0</v>
      </c>
      <c r="K62">
        <f t="shared" si="2"/>
        <v>0</v>
      </c>
    </row>
    <row r="63" spans="7:11" x14ac:dyDescent="0.2">
      <c r="G63" s="5" t="s">
        <v>62</v>
      </c>
      <c r="H63" s="6">
        <v>0.85</v>
      </c>
      <c r="I63">
        <f t="shared" si="0"/>
        <v>0.85</v>
      </c>
      <c r="J63">
        <f t="shared" si="1"/>
        <v>0</v>
      </c>
      <c r="K63">
        <f t="shared" si="2"/>
        <v>0</v>
      </c>
    </row>
    <row r="64" spans="7:11" x14ac:dyDescent="0.2">
      <c r="G64" s="5" t="s">
        <v>74</v>
      </c>
      <c r="H64" s="6">
        <v>0.95</v>
      </c>
      <c r="I64">
        <f t="shared" si="0"/>
        <v>0.95</v>
      </c>
      <c r="J64">
        <f t="shared" si="1"/>
        <v>0</v>
      </c>
      <c r="K64">
        <f t="shared" si="2"/>
        <v>0</v>
      </c>
    </row>
    <row r="65" spans="7:11" x14ac:dyDescent="0.2">
      <c r="G65" s="5" t="s">
        <v>11</v>
      </c>
      <c r="H65" s="6">
        <v>0.65</v>
      </c>
      <c r="I65">
        <f t="shared" si="0"/>
        <v>0.65</v>
      </c>
      <c r="J65">
        <f t="shared" si="1"/>
        <v>0</v>
      </c>
      <c r="K65">
        <f t="shared" si="2"/>
        <v>0</v>
      </c>
    </row>
    <row r="66" spans="7:11" x14ac:dyDescent="0.2">
      <c r="G66" s="5" t="s">
        <v>74</v>
      </c>
      <c r="H66" s="6">
        <v>0.95</v>
      </c>
      <c r="I66">
        <f t="shared" si="0"/>
        <v>0.95</v>
      </c>
      <c r="J66">
        <f t="shared" si="1"/>
        <v>0</v>
      </c>
      <c r="K66">
        <f t="shared" si="2"/>
        <v>0</v>
      </c>
    </row>
    <row r="67" spans="7:11" x14ac:dyDescent="0.2">
      <c r="G67" s="5" t="s">
        <v>32</v>
      </c>
      <c r="H67" s="6">
        <v>0.75</v>
      </c>
      <c r="I67">
        <f t="shared" ref="I67:I101" si="3">_xlfn.XLOOKUP(G67,$C$2:$C$35,$A$2:$A$35)</f>
        <v>0.75</v>
      </c>
      <c r="J67">
        <f t="shared" ref="J67:J101" si="4">((H67-I67))</f>
        <v>0</v>
      </c>
      <c r="K67">
        <f t="shared" ref="K67:K101" si="5">IF(J67&gt;0,J67,-J67)</f>
        <v>0</v>
      </c>
    </row>
    <row r="68" spans="7:11" x14ac:dyDescent="0.2">
      <c r="G68" s="5" t="s">
        <v>62</v>
      </c>
      <c r="H68" s="6">
        <v>0.85</v>
      </c>
      <c r="I68">
        <f t="shared" si="3"/>
        <v>0.85</v>
      </c>
      <c r="J68">
        <f t="shared" si="4"/>
        <v>0</v>
      </c>
      <c r="K68">
        <f t="shared" si="5"/>
        <v>0</v>
      </c>
    </row>
    <row r="69" spans="7:11" x14ac:dyDescent="0.2">
      <c r="G69" s="5" t="s">
        <v>41</v>
      </c>
      <c r="H69" s="6">
        <v>0.75</v>
      </c>
      <c r="I69">
        <f t="shared" si="3"/>
        <v>0.75</v>
      </c>
      <c r="J69">
        <f t="shared" si="4"/>
        <v>0</v>
      </c>
      <c r="K69">
        <f t="shared" si="5"/>
        <v>0</v>
      </c>
    </row>
    <row r="70" spans="7:11" x14ac:dyDescent="0.2">
      <c r="G70" s="5" t="s">
        <v>62</v>
      </c>
      <c r="H70" s="6">
        <v>0.85</v>
      </c>
      <c r="I70">
        <f t="shared" si="3"/>
        <v>0.85</v>
      </c>
      <c r="J70">
        <f t="shared" si="4"/>
        <v>0</v>
      </c>
      <c r="K70">
        <f t="shared" si="5"/>
        <v>0</v>
      </c>
    </row>
    <row r="71" spans="7:11" x14ac:dyDescent="0.2">
      <c r="G71" s="5" t="s">
        <v>74</v>
      </c>
      <c r="H71" s="6">
        <v>0.95</v>
      </c>
      <c r="I71">
        <f t="shared" si="3"/>
        <v>0.95</v>
      </c>
      <c r="J71">
        <f t="shared" si="4"/>
        <v>0</v>
      </c>
      <c r="K71">
        <f t="shared" si="5"/>
        <v>0</v>
      </c>
    </row>
    <row r="72" spans="7:11" x14ac:dyDescent="0.2">
      <c r="G72" s="5" t="s">
        <v>74</v>
      </c>
      <c r="H72" s="6">
        <v>0.95</v>
      </c>
      <c r="I72">
        <f t="shared" si="3"/>
        <v>0.95</v>
      </c>
      <c r="J72">
        <f t="shared" si="4"/>
        <v>0</v>
      </c>
      <c r="K72">
        <f t="shared" si="5"/>
        <v>0</v>
      </c>
    </row>
    <row r="73" spans="7:11" x14ac:dyDescent="0.2">
      <c r="G73" s="5" t="s">
        <v>53</v>
      </c>
      <c r="H73" s="6">
        <v>0.85</v>
      </c>
      <c r="I73">
        <f t="shared" si="3"/>
        <v>0.85</v>
      </c>
      <c r="J73">
        <f t="shared" si="4"/>
        <v>0</v>
      </c>
      <c r="K73">
        <f t="shared" si="5"/>
        <v>0</v>
      </c>
    </row>
    <row r="74" spans="7:11" x14ac:dyDescent="0.2">
      <c r="G74" s="5" t="s">
        <v>53</v>
      </c>
      <c r="H74" s="6">
        <v>0.85</v>
      </c>
      <c r="I74">
        <f t="shared" si="3"/>
        <v>0.85</v>
      </c>
      <c r="J74">
        <f t="shared" si="4"/>
        <v>0</v>
      </c>
      <c r="K74">
        <f t="shared" si="5"/>
        <v>0</v>
      </c>
    </row>
    <row r="75" spans="7:11" x14ac:dyDescent="0.2">
      <c r="G75" s="5" t="s">
        <v>62</v>
      </c>
      <c r="H75" s="6">
        <v>0.85</v>
      </c>
      <c r="I75">
        <f t="shared" si="3"/>
        <v>0.85</v>
      </c>
      <c r="J75">
        <f t="shared" si="4"/>
        <v>0</v>
      </c>
      <c r="K75">
        <f t="shared" si="5"/>
        <v>0</v>
      </c>
    </row>
    <row r="76" spans="7:11" x14ac:dyDescent="0.2">
      <c r="G76" s="5" t="s">
        <v>11</v>
      </c>
      <c r="H76" s="6">
        <v>0.65</v>
      </c>
      <c r="I76">
        <f t="shared" si="3"/>
        <v>0.65</v>
      </c>
      <c r="J76">
        <f t="shared" si="4"/>
        <v>0</v>
      </c>
      <c r="K76">
        <f t="shared" si="5"/>
        <v>0</v>
      </c>
    </row>
    <row r="77" spans="7:11" x14ac:dyDescent="0.2">
      <c r="G77" s="5" t="s">
        <v>41</v>
      </c>
      <c r="H77" s="6">
        <v>0.75</v>
      </c>
      <c r="I77">
        <f t="shared" si="3"/>
        <v>0.75</v>
      </c>
      <c r="J77">
        <f t="shared" si="4"/>
        <v>0</v>
      </c>
      <c r="K77">
        <f t="shared" si="5"/>
        <v>0</v>
      </c>
    </row>
    <row r="78" spans="7:11" x14ac:dyDescent="0.2">
      <c r="G78" s="5" t="s">
        <v>41</v>
      </c>
      <c r="H78" s="6">
        <v>0.85</v>
      </c>
      <c r="I78">
        <f t="shared" si="3"/>
        <v>0.75</v>
      </c>
      <c r="J78">
        <f t="shared" si="4"/>
        <v>9.9999999999999978E-2</v>
      </c>
      <c r="K78">
        <f t="shared" si="5"/>
        <v>9.9999999999999978E-2</v>
      </c>
    </row>
    <row r="79" spans="7:11" x14ac:dyDescent="0.2">
      <c r="G79" s="5" t="s">
        <v>20</v>
      </c>
      <c r="H79" s="6">
        <v>0.65</v>
      </c>
      <c r="I79">
        <f t="shared" si="3"/>
        <v>0.65</v>
      </c>
      <c r="J79">
        <f t="shared" si="4"/>
        <v>0</v>
      </c>
      <c r="K79">
        <f t="shared" si="5"/>
        <v>0</v>
      </c>
    </row>
    <row r="80" spans="7:11" x14ac:dyDescent="0.2">
      <c r="G80" s="5" t="s">
        <v>32</v>
      </c>
      <c r="H80" s="6">
        <v>0.75</v>
      </c>
      <c r="I80">
        <f t="shared" si="3"/>
        <v>0.75</v>
      </c>
      <c r="J80">
        <f t="shared" si="4"/>
        <v>0</v>
      </c>
      <c r="K80">
        <f t="shared" si="5"/>
        <v>0</v>
      </c>
    </row>
    <row r="81" spans="7:11" x14ac:dyDescent="0.2">
      <c r="G81" s="5" t="s">
        <v>11</v>
      </c>
      <c r="H81" s="6">
        <v>0.65</v>
      </c>
      <c r="I81">
        <f t="shared" si="3"/>
        <v>0.65</v>
      </c>
      <c r="J81">
        <f t="shared" si="4"/>
        <v>0</v>
      </c>
      <c r="K81">
        <f t="shared" si="5"/>
        <v>0</v>
      </c>
    </row>
    <row r="82" spans="7:11" x14ac:dyDescent="0.2">
      <c r="G82" s="5" t="s">
        <v>41</v>
      </c>
      <c r="H82" s="6">
        <v>0.75</v>
      </c>
      <c r="I82">
        <f t="shared" si="3"/>
        <v>0.75</v>
      </c>
      <c r="J82">
        <f t="shared" si="4"/>
        <v>0</v>
      </c>
      <c r="K82">
        <f t="shared" si="5"/>
        <v>0</v>
      </c>
    </row>
    <row r="83" spans="7:11" x14ac:dyDescent="0.2">
      <c r="G83" s="5" t="s">
        <v>32</v>
      </c>
      <c r="H83" s="6">
        <v>0.75</v>
      </c>
      <c r="I83">
        <f t="shared" si="3"/>
        <v>0.75</v>
      </c>
      <c r="J83">
        <f t="shared" si="4"/>
        <v>0</v>
      </c>
      <c r="K83">
        <f t="shared" si="5"/>
        <v>0</v>
      </c>
    </row>
    <row r="84" spans="7:11" x14ac:dyDescent="0.2">
      <c r="G84" s="5" t="s">
        <v>74</v>
      </c>
      <c r="H84" s="6">
        <v>0.95</v>
      </c>
      <c r="I84">
        <f t="shared" si="3"/>
        <v>0.95</v>
      </c>
      <c r="J84">
        <f t="shared" si="4"/>
        <v>0</v>
      </c>
      <c r="K84">
        <f t="shared" si="5"/>
        <v>0</v>
      </c>
    </row>
    <row r="85" spans="7:11" x14ac:dyDescent="0.2">
      <c r="G85" s="5" t="s">
        <v>11</v>
      </c>
      <c r="H85" s="6">
        <v>0.65</v>
      </c>
      <c r="I85">
        <f t="shared" si="3"/>
        <v>0.65</v>
      </c>
      <c r="J85">
        <f t="shared" si="4"/>
        <v>0</v>
      </c>
      <c r="K85">
        <f t="shared" si="5"/>
        <v>0</v>
      </c>
    </row>
    <row r="86" spans="7:11" x14ac:dyDescent="0.2">
      <c r="G86" s="5" t="s">
        <v>41</v>
      </c>
      <c r="H86" s="6">
        <v>0.75</v>
      </c>
      <c r="I86">
        <f t="shared" si="3"/>
        <v>0.75</v>
      </c>
      <c r="J86">
        <f t="shared" si="4"/>
        <v>0</v>
      </c>
      <c r="K86">
        <f t="shared" si="5"/>
        <v>0</v>
      </c>
    </row>
    <row r="87" spans="7:11" x14ac:dyDescent="0.2">
      <c r="G87" s="5" t="s">
        <v>41</v>
      </c>
      <c r="H87" s="6">
        <v>0.75</v>
      </c>
      <c r="I87">
        <f t="shared" si="3"/>
        <v>0.75</v>
      </c>
      <c r="J87">
        <f t="shared" si="4"/>
        <v>0</v>
      </c>
      <c r="K87">
        <f t="shared" si="5"/>
        <v>0</v>
      </c>
    </row>
    <row r="88" spans="7:11" x14ac:dyDescent="0.2">
      <c r="G88" s="5" t="s">
        <v>11</v>
      </c>
      <c r="H88" s="6">
        <v>0.65</v>
      </c>
      <c r="I88">
        <f t="shared" si="3"/>
        <v>0.65</v>
      </c>
      <c r="J88">
        <f t="shared" si="4"/>
        <v>0</v>
      </c>
      <c r="K88">
        <f t="shared" si="5"/>
        <v>0</v>
      </c>
    </row>
    <row r="89" spans="7:11" x14ac:dyDescent="0.2">
      <c r="G89" s="5" t="s">
        <v>41</v>
      </c>
      <c r="H89" s="6">
        <v>0.75</v>
      </c>
      <c r="I89">
        <f t="shared" si="3"/>
        <v>0.75</v>
      </c>
      <c r="J89">
        <f t="shared" si="4"/>
        <v>0</v>
      </c>
      <c r="K89">
        <f t="shared" si="5"/>
        <v>0</v>
      </c>
    </row>
    <row r="90" spans="7:11" x14ac:dyDescent="0.2">
      <c r="G90" s="5" t="s">
        <v>83</v>
      </c>
      <c r="H90" s="6">
        <v>0.95</v>
      </c>
      <c r="I90">
        <f t="shared" si="3"/>
        <v>0.95</v>
      </c>
      <c r="J90">
        <f t="shared" si="4"/>
        <v>0</v>
      </c>
      <c r="K90">
        <f t="shared" si="5"/>
        <v>0</v>
      </c>
    </row>
    <row r="91" spans="7:11" x14ac:dyDescent="0.2">
      <c r="G91" s="5" t="s">
        <v>11</v>
      </c>
      <c r="H91" s="6">
        <v>0.65</v>
      </c>
      <c r="I91">
        <f t="shared" si="3"/>
        <v>0.65</v>
      </c>
      <c r="J91">
        <f t="shared" si="4"/>
        <v>0</v>
      </c>
      <c r="K91">
        <f t="shared" si="5"/>
        <v>0</v>
      </c>
    </row>
    <row r="92" spans="7:11" x14ac:dyDescent="0.2">
      <c r="G92" s="5" t="s">
        <v>20</v>
      </c>
      <c r="H92" s="6">
        <v>0.65</v>
      </c>
      <c r="I92">
        <f t="shared" si="3"/>
        <v>0.65</v>
      </c>
      <c r="J92">
        <f t="shared" si="4"/>
        <v>0</v>
      </c>
      <c r="K92">
        <f t="shared" si="5"/>
        <v>0</v>
      </c>
    </row>
    <row r="93" spans="7:11" x14ac:dyDescent="0.2">
      <c r="G93" s="5" t="s">
        <v>53</v>
      </c>
      <c r="H93" s="6">
        <v>0.85</v>
      </c>
      <c r="I93">
        <f t="shared" si="3"/>
        <v>0.85</v>
      </c>
      <c r="J93">
        <f t="shared" si="4"/>
        <v>0</v>
      </c>
      <c r="K93">
        <f t="shared" si="5"/>
        <v>0</v>
      </c>
    </row>
    <row r="94" spans="7:11" x14ac:dyDescent="0.2">
      <c r="G94" s="5" t="s">
        <v>20</v>
      </c>
      <c r="H94" s="6">
        <v>0.65</v>
      </c>
      <c r="I94">
        <f t="shared" si="3"/>
        <v>0.65</v>
      </c>
      <c r="J94">
        <f t="shared" si="4"/>
        <v>0</v>
      </c>
      <c r="K94">
        <f t="shared" si="5"/>
        <v>0</v>
      </c>
    </row>
    <row r="95" spans="7:11" x14ac:dyDescent="0.2">
      <c r="G95" s="5" t="s">
        <v>53</v>
      </c>
      <c r="H95" s="6">
        <v>0.85</v>
      </c>
      <c r="I95">
        <f t="shared" si="3"/>
        <v>0.85</v>
      </c>
      <c r="J95">
        <f t="shared" si="4"/>
        <v>0</v>
      </c>
      <c r="K95">
        <f t="shared" si="5"/>
        <v>0</v>
      </c>
    </row>
    <row r="96" spans="7:11" x14ac:dyDescent="0.2">
      <c r="G96" s="5" t="s">
        <v>11</v>
      </c>
      <c r="H96" s="6">
        <v>0.65</v>
      </c>
      <c r="I96">
        <f t="shared" si="3"/>
        <v>0.65</v>
      </c>
      <c r="J96">
        <f t="shared" si="4"/>
        <v>0</v>
      </c>
      <c r="K96">
        <f t="shared" si="5"/>
        <v>0</v>
      </c>
    </row>
    <row r="97" spans="7:11" x14ac:dyDescent="0.2">
      <c r="G97" s="5" t="s">
        <v>11</v>
      </c>
      <c r="H97" s="6">
        <v>0.65</v>
      </c>
      <c r="I97">
        <f t="shared" si="3"/>
        <v>0.65</v>
      </c>
      <c r="J97">
        <f t="shared" si="4"/>
        <v>0</v>
      </c>
      <c r="K97">
        <f t="shared" si="5"/>
        <v>0</v>
      </c>
    </row>
    <row r="98" spans="7:11" x14ac:dyDescent="0.2">
      <c r="G98" s="5" t="s">
        <v>62</v>
      </c>
      <c r="H98" s="6">
        <v>0.85</v>
      </c>
      <c r="I98">
        <f t="shared" si="3"/>
        <v>0.85</v>
      </c>
      <c r="J98">
        <f t="shared" si="4"/>
        <v>0</v>
      </c>
      <c r="K98">
        <f t="shared" si="5"/>
        <v>0</v>
      </c>
    </row>
    <row r="99" spans="7:11" x14ac:dyDescent="0.2">
      <c r="G99" s="5" t="s">
        <v>83</v>
      </c>
      <c r="H99" s="6">
        <v>0.95</v>
      </c>
      <c r="I99">
        <f t="shared" si="3"/>
        <v>0.95</v>
      </c>
      <c r="J99">
        <f t="shared" si="4"/>
        <v>0</v>
      </c>
      <c r="K99">
        <f t="shared" si="5"/>
        <v>0</v>
      </c>
    </row>
    <row r="100" spans="7:11" x14ac:dyDescent="0.2">
      <c r="G100" s="5" t="s">
        <v>11</v>
      </c>
      <c r="H100" s="6">
        <v>0.65</v>
      </c>
      <c r="I100">
        <f t="shared" si="3"/>
        <v>0.65</v>
      </c>
      <c r="J100">
        <f t="shared" si="4"/>
        <v>0</v>
      </c>
      <c r="K100">
        <f t="shared" si="5"/>
        <v>0</v>
      </c>
    </row>
    <row r="101" spans="7:11" x14ac:dyDescent="0.2">
      <c r="G101" s="5" t="s">
        <v>62</v>
      </c>
      <c r="H101" s="6">
        <v>0.95</v>
      </c>
      <c r="I101">
        <f t="shared" si="3"/>
        <v>0.85</v>
      </c>
      <c r="J101">
        <f t="shared" si="4"/>
        <v>9.9999999999999978E-2</v>
      </c>
      <c r="K101">
        <f t="shared" si="5"/>
        <v>9.9999999999999978E-2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304C-FD04-4F49-AF73-D911D6436E9F}">
  <dimension ref="A1:Z151"/>
  <sheetViews>
    <sheetView topLeftCell="B1" zoomScale="68" zoomScaleNormal="69" workbookViewId="0">
      <selection activeCell="G1" sqref="G1:H151"/>
    </sheetView>
  </sheetViews>
  <sheetFormatPr baseColWidth="10" defaultRowHeight="16" x14ac:dyDescent="0.2"/>
  <cols>
    <col min="8" max="11" width="11" bestFit="1" customWidth="1"/>
    <col min="13" max="14" width="16.5" bestFit="1" customWidth="1"/>
    <col min="15" max="16" width="7.5" bestFit="1" customWidth="1"/>
    <col min="17" max="17" width="9" bestFit="1" customWidth="1"/>
    <col min="18" max="18" width="10.6640625" bestFit="1" customWidth="1"/>
    <col min="19" max="20" width="10.5" bestFit="1" customWidth="1"/>
    <col min="21" max="21" width="17" bestFit="1" customWidth="1"/>
    <col min="22" max="22" width="17.33203125" bestFit="1" customWidth="1"/>
    <col min="23" max="25" width="8" bestFit="1" customWidth="1"/>
    <col min="26" max="26" width="11" bestFit="1" customWidth="1"/>
    <col min="27" max="27" width="10.5" bestFit="1" customWidth="1"/>
  </cols>
  <sheetData>
    <row r="1" spans="1:13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13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32</v>
      </c>
      <c r="H2" s="6">
        <v>0.75</v>
      </c>
      <c r="I2">
        <f>_xlfn.XLOOKUP(G2,$C$2:$C$35,$A$2:$A$35)</f>
        <v>0.75</v>
      </c>
      <c r="J2">
        <f>((H2-I2))</f>
        <v>0</v>
      </c>
      <c r="K2">
        <f>IF(J2&gt;0,J2,-J2)</f>
        <v>0</v>
      </c>
    </row>
    <row r="3" spans="1:13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83</v>
      </c>
      <c r="H3" s="6">
        <v>0.95</v>
      </c>
      <c r="I3">
        <f t="shared" ref="I3:I66" si="0">_xlfn.XLOOKUP(G3,$C$2:$C$35,$A$2:$A$35)</f>
        <v>0.95</v>
      </c>
      <c r="J3">
        <f t="shared" ref="J3:J66" si="1">((H3-I3))</f>
        <v>0</v>
      </c>
      <c r="K3">
        <f t="shared" ref="K3:K66" si="2">IF(J3&gt;0,J3,-J3)</f>
        <v>0</v>
      </c>
    </row>
    <row r="4" spans="1:13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74</v>
      </c>
      <c r="H4" s="6">
        <v>0.95</v>
      </c>
      <c r="I4">
        <f t="shared" si="0"/>
        <v>0.95</v>
      </c>
      <c r="J4">
        <f t="shared" si="1"/>
        <v>0</v>
      </c>
      <c r="K4">
        <f t="shared" si="2"/>
        <v>0</v>
      </c>
    </row>
    <row r="5" spans="1:13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74</v>
      </c>
      <c r="H5" s="6">
        <v>0.95</v>
      </c>
      <c r="I5">
        <f t="shared" si="0"/>
        <v>0.95</v>
      </c>
      <c r="J5">
        <f t="shared" si="1"/>
        <v>0</v>
      </c>
      <c r="K5">
        <f t="shared" si="2"/>
        <v>0</v>
      </c>
    </row>
    <row r="6" spans="1:13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0.95</v>
      </c>
      <c r="I6">
        <f t="shared" si="0"/>
        <v>0.95</v>
      </c>
      <c r="J6">
        <f t="shared" si="1"/>
        <v>0</v>
      </c>
      <c r="K6">
        <f t="shared" si="2"/>
        <v>0</v>
      </c>
    </row>
    <row r="7" spans="1:13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62</v>
      </c>
      <c r="H7" s="6">
        <v>0.95</v>
      </c>
      <c r="I7">
        <f t="shared" si="0"/>
        <v>0.85</v>
      </c>
      <c r="J7">
        <f t="shared" si="1"/>
        <v>9.9999999999999978E-2</v>
      </c>
      <c r="K7">
        <f t="shared" si="2"/>
        <v>9.9999999999999978E-2</v>
      </c>
    </row>
    <row r="8" spans="1:13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62</v>
      </c>
      <c r="H8" s="6">
        <v>0.95</v>
      </c>
      <c r="I8">
        <f t="shared" si="0"/>
        <v>0.85</v>
      </c>
      <c r="J8">
        <f t="shared" si="1"/>
        <v>9.9999999999999978E-2</v>
      </c>
      <c r="K8">
        <f t="shared" si="2"/>
        <v>9.9999999999999978E-2</v>
      </c>
    </row>
    <row r="9" spans="1:13" x14ac:dyDescent="0.2">
      <c r="G9" s="5" t="s">
        <v>20</v>
      </c>
      <c r="H9" s="6">
        <v>0.65</v>
      </c>
      <c r="I9">
        <f t="shared" si="0"/>
        <v>0.65</v>
      </c>
      <c r="J9">
        <f t="shared" si="1"/>
        <v>0</v>
      </c>
      <c r="K9">
        <f t="shared" si="2"/>
        <v>0</v>
      </c>
    </row>
    <row r="10" spans="1:13" x14ac:dyDescent="0.2">
      <c r="G10" s="5" t="s">
        <v>20</v>
      </c>
      <c r="H10" s="6">
        <v>0.65</v>
      </c>
      <c r="I10">
        <f t="shared" si="0"/>
        <v>0.65</v>
      </c>
      <c r="J10">
        <f t="shared" si="1"/>
        <v>0</v>
      </c>
      <c r="K10">
        <f t="shared" si="2"/>
        <v>0</v>
      </c>
    </row>
    <row r="11" spans="1:13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62</v>
      </c>
      <c r="H11" s="6">
        <v>0.95</v>
      </c>
      <c r="I11">
        <f t="shared" si="0"/>
        <v>0.85</v>
      </c>
      <c r="J11">
        <f t="shared" si="1"/>
        <v>9.9999999999999978E-2</v>
      </c>
      <c r="K11">
        <f t="shared" si="2"/>
        <v>9.9999999999999978E-2</v>
      </c>
    </row>
    <row r="12" spans="1:13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20</v>
      </c>
      <c r="H12" s="6">
        <v>0.65</v>
      </c>
      <c r="I12">
        <f t="shared" si="0"/>
        <v>0.65</v>
      </c>
      <c r="J12">
        <f t="shared" si="1"/>
        <v>0</v>
      </c>
      <c r="K12">
        <f t="shared" si="2"/>
        <v>0</v>
      </c>
    </row>
    <row r="13" spans="1:13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53</v>
      </c>
      <c r="H13" s="6">
        <v>0.85</v>
      </c>
      <c r="I13">
        <f t="shared" si="0"/>
        <v>0.85</v>
      </c>
      <c r="J13">
        <f t="shared" si="1"/>
        <v>0</v>
      </c>
      <c r="K13">
        <f t="shared" si="2"/>
        <v>0</v>
      </c>
    </row>
    <row r="14" spans="1:13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53</v>
      </c>
      <c r="H14" s="6">
        <v>0.95</v>
      </c>
      <c r="I14">
        <f t="shared" si="0"/>
        <v>0.85</v>
      </c>
      <c r="J14">
        <f t="shared" si="1"/>
        <v>9.9999999999999978E-2</v>
      </c>
      <c r="K14">
        <f t="shared" si="2"/>
        <v>9.9999999999999978E-2</v>
      </c>
    </row>
    <row r="15" spans="1:13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41</v>
      </c>
      <c r="H15" s="6">
        <v>0.95</v>
      </c>
      <c r="I15">
        <f t="shared" si="0"/>
        <v>0.75</v>
      </c>
      <c r="J15">
        <f t="shared" si="1"/>
        <v>0.19999999999999996</v>
      </c>
      <c r="K15">
        <f t="shared" si="2"/>
        <v>0.19999999999999996</v>
      </c>
      <c r="M15">
        <f>AVERAGE(K2:K151)/0.3</f>
        <v>0.11999999999999995</v>
      </c>
    </row>
    <row r="16" spans="1:13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11</v>
      </c>
      <c r="H16" s="6">
        <v>0.65</v>
      </c>
      <c r="I16">
        <f t="shared" si="0"/>
        <v>0.65</v>
      </c>
      <c r="J16">
        <f t="shared" si="1"/>
        <v>0</v>
      </c>
      <c r="K16">
        <f t="shared" si="2"/>
        <v>0</v>
      </c>
    </row>
    <row r="17" spans="1:26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62</v>
      </c>
      <c r="H17" s="6">
        <v>0.95</v>
      </c>
      <c r="I17">
        <f t="shared" si="0"/>
        <v>0.85</v>
      </c>
      <c r="J17">
        <f t="shared" si="1"/>
        <v>9.9999999999999978E-2</v>
      </c>
      <c r="K17">
        <f t="shared" si="2"/>
        <v>9.9999999999999978E-2</v>
      </c>
    </row>
    <row r="18" spans="1:26" x14ac:dyDescent="0.2">
      <c r="G18" s="5" t="s">
        <v>32</v>
      </c>
      <c r="H18" s="6">
        <v>0.75</v>
      </c>
      <c r="I18">
        <f t="shared" si="0"/>
        <v>0.75</v>
      </c>
      <c r="J18">
        <f t="shared" si="1"/>
        <v>0</v>
      </c>
      <c r="K18">
        <f t="shared" si="2"/>
        <v>0</v>
      </c>
    </row>
    <row r="19" spans="1:26" x14ac:dyDescent="0.2">
      <c r="G19" s="5" t="s">
        <v>11</v>
      </c>
      <c r="H19" s="6">
        <v>0.65</v>
      </c>
      <c r="I19">
        <f t="shared" si="0"/>
        <v>0.65</v>
      </c>
      <c r="J19">
        <f t="shared" si="1"/>
        <v>0</v>
      </c>
      <c r="K19">
        <f t="shared" si="2"/>
        <v>0</v>
      </c>
    </row>
    <row r="20" spans="1:26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53</v>
      </c>
      <c r="H20" s="6">
        <v>0.85</v>
      </c>
      <c r="I20">
        <f t="shared" si="0"/>
        <v>0.85</v>
      </c>
      <c r="J20">
        <f t="shared" si="1"/>
        <v>0</v>
      </c>
      <c r="K20">
        <f t="shared" si="2"/>
        <v>0</v>
      </c>
    </row>
    <row r="21" spans="1:26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11</v>
      </c>
      <c r="H21" s="6">
        <v>0.65</v>
      </c>
      <c r="I21">
        <f t="shared" si="0"/>
        <v>0.65</v>
      </c>
      <c r="J21">
        <f t="shared" si="1"/>
        <v>0</v>
      </c>
      <c r="K21">
        <f t="shared" si="2"/>
        <v>0</v>
      </c>
    </row>
    <row r="22" spans="1:26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41</v>
      </c>
      <c r="H22" s="6">
        <v>0.95</v>
      </c>
      <c r="I22">
        <f t="shared" si="0"/>
        <v>0.75</v>
      </c>
      <c r="J22">
        <f t="shared" si="1"/>
        <v>0.19999999999999996</v>
      </c>
      <c r="K22">
        <f t="shared" si="2"/>
        <v>0.19999999999999996</v>
      </c>
    </row>
    <row r="23" spans="1:26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62</v>
      </c>
      <c r="H23" s="6">
        <v>0.95</v>
      </c>
      <c r="I23">
        <f t="shared" si="0"/>
        <v>0.85</v>
      </c>
      <c r="J23">
        <f t="shared" si="1"/>
        <v>9.9999999999999978E-2</v>
      </c>
      <c r="K23">
        <f t="shared" si="2"/>
        <v>9.9999999999999978E-2</v>
      </c>
    </row>
    <row r="24" spans="1:26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53</v>
      </c>
      <c r="H24" s="6">
        <v>0.85</v>
      </c>
      <c r="I24">
        <f t="shared" si="0"/>
        <v>0.85</v>
      </c>
      <c r="J24">
        <f t="shared" si="1"/>
        <v>0</v>
      </c>
      <c r="K24">
        <f t="shared" si="2"/>
        <v>0</v>
      </c>
    </row>
    <row r="25" spans="1:26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11</v>
      </c>
      <c r="H25" s="6">
        <v>0.65</v>
      </c>
      <c r="I25">
        <f t="shared" si="0"/>
        <v>0.65</v>
      </c>
      <c r="J25">
        <f t="shared" si="1"/>
        <v>0</v>
      </c>
      <c r="K25">
        <f t="shared" si="2"/>
        <v>0</v>
      </c>
    </row>
    <row r="26" spans="1:26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74</v>
      </c>
      <c r="H26" s="6">
        <v>0.95</v>
      </c>
      <c r="I26">
        <f t="shared" si="0"/>
        <v>0.95</v>
      </c>
      <c r="J26">
        <f t="shared" si="1"/>
        <v>0</v>
      </c>
      <c r="K26">
        <f t="shared" si="2"/>
        <v>0</v>
      </c>
    </row>
    <row r="27" spans="1:26" x14ac:dyDescent="0.2">
      <c r="G27" s="5" t="s">
        <v>74</v>
      </c>
      <c r="H27" s="6">
        <v>0.95</v>
      </c>
      <c r="I27">
        <f t="shared" si="0"/>
        <v>0.95</v>
      </c>
      <c r="J27">
        <f t="shared" si="1"/>
        <v>0</v>
      </c>
      <c r="K27">
        <f t="shared" si="2"/>
        <v>0</v>
      </c>
      <c r="U27" s="7" t="s">
        <v>97</v>
      </c>
      <c r="V27" s="7" t="s">
        <v>103</v>
      </c>
    </row>
    <row r="28" spans="1:26" x14ac:dyDescent="0.2">
      <c r="G28" s="5" t="s">
        <v>32</v>
      </c>
      <c r="H28" s="6">
        <v>0.75</v>
      </c>
      <c r="I28">
        <f t="shared" si="0"/>
        <v>0.75</v>
      </c>
      <c r="J28">
        <f t="shared" si="1"/>
        <v>0</v>
      </c>
      <c r="K28">
        <f t="shared" si="2"/>
        <v>0</v>
      </c>
      <c r="U28" s="7" t="s">
        <v>102</v>
      </c>
      <c r="V28">
        <v>0.65</v>
      </c>
      <c r="W28">
        <v>0.75</v>
      </c>
      <c r="X28">
        <v>0.85</v>
      </c>
      <c r="Y28">
        <v>0.95</v>
      </c>
      <c r="Z28" t="s">
        <v>92</v>
      </c>
    </row>
    <row r="29" spans="1:26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83</v>
      </c>
      <c r="H29" s="6">
        <v>0.95</v>
      </c>
      <c r="I29">
        <f t="shared" si="0"/>
        <v>0.95</v>
      </c>
      <c r="J29">
        <f t="shared" si="1"/>
        <v>0</v>
      </c>
      <c r="K29">
        <f t="shared" si="2"/>
        <v>0</v>
      </c>
      <c r="U29" s="8">
        <v>0.65</v>
      </c>
      <c r="V29" s="9">
        <v>1</v>
      </c>
      <c r="W29" s="9">
        <v>0</v>
      </c>
      <c r="X29" s="9">
        <v>0</v>
      </c>
      <c r="Y29" s="9">
        <v>0</v>
      </c>
      <c r="Z29" s="9">
        <v>1</v>
      </c>
    </row>
    <row r="30" spans="1:26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83</v>
      </c>
      <c r="H30" s="6">
        <v>0.95</v>
      </c>
      <c r="I30">
        <f t="shared" si="0"/>
        <v>0.95</v>
      </c>
      <c r="J30">
        <f t="shared" si="1"/>
        <v>0</v>
      </c>
      <c r="K30">
        <f t="shared" si="2"/>
        <v>0</v>
      </c>
      <c r="U30" s="8">
        <v>0.75</v>
      </c>
      <c r="V30" s="9">
        <v>0</v>
      </c>
      <c r="W30" s="9">
        <v>0.95652173913043481</v>
      </c>
      <c r="X30" s="9">
        <v>4.3478260869565216E-2</v>
      </c>
      <c r="Y30" s="9">
        <v>0</v>
      </c>
      <c r="Z30" s="9">
        <v>1</v>
      </c>
    </row>
    <row r="31" spans="1:26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74</v>
      </c>
      <c r="H31" s="6">
        <v>0.95</v>
      </c>
      <c r="I31">
        <f t="shared" si="0"/>
        <v>0.95</v>
      </c>
      <c r="J31">
        <f t="shared" si="1"/>
        <v>0</v>
      </c>
      <c r="K31">
        <f t="shared" si="2"/>
        <v>0</v>
      </c>
      <c r="U31" s="8">
        <v>0.85</v>
      </c>
      <c r="V31" s="9">
        <v>0</v>
      </c>
      <c r="W31" s="9">
        <v>0.10714285714285714</v>
      </c>
      <c r="X31" s="9">
        <v>0.7857142857142857</v>
      </c>
      <c r="Y31" s="9">
        <v>0.10714285714285714</v>
      </c>
      <c r="Z31" s="9">
        <v>1</v>
      </c>
    </row>
    <row r="32" spans="1:26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62</v>
      </c>
      <c r="H32" s="6">
        <v>0.75</v>
      </c>
      <c r="I32">
        <f t="shared" si="0"/>
        <v>0.85</v>
      </c>
      <c r="J32">
        <f t="shared" si="1"/>
        <v>-9.9999999999999978E-2</v>
      </c>
      <c r="K32">
        <f t="shared" si="2"/>
        <v>9.9999999999999978E-2</v>
      </c>
      <c r="U32" s="8">
        <v>0.95</v>
      </c>
      <c r="V32" s="9">
        <v>0</v>
      </c>
      <c r="W32" s="9">
        <v>0</v>
      </c>
      <c r="X32" s="9">
        <v>3.7037037037037035E-2</v>
      </c>
      <c r="Y32" s="9">
        <v>0.96296296296296291</v>
      </c>
      <c r="Z32" s="9">
        <v>1</v>
      </c>
    </row>
    <row r="33" spans="1:26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11</v>
      </c>
      <c r="H33" s="6">
        <v>0.65</v>
      </c>
      <c r="I33">
        <f t="shared" si="0"/>
        <v>0.65</v>
      </c>
      <c r="J33">
        <f t="shared" si="1"/>
        <v>0</v>
      </c>
      <c r="K33">
        <f t="shared" si="2"/>
        <v>0</v>
      </c>
      <c r="U33" s="8" t="s">
        <v>92</v>
      </c>
      <c r="V33" s="9">
        <v>0.22</v>
      </c>
      <c r="W33" s="9">
        <v>0.25</v>
      </c>
      <c r="X33" s="9">
        <v>0.24</v>
      </c>
      <c r="Y33" s="9">
        <v>0.28999999999999998</v>
      </c>
      <c r="Z33" s="9">
        <v>1</v>
      </c>
    </row>
    <row r="34" spans="1:26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0.65</v>
      </c>
      <c r="I34">
        <f t="shared" si="0"/>
        <v>0.65</v>
      </c>
      <c r="J34">
        <f t="shared" si="1"/>
        <v>0</v>
      </c>
      <c r="K34">
        <f t="shared" si="2"/>
        <v>0</v>
      </c>
    </row>
    <row r="35" spans="1:26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53</v>
      </c>
      <c r="H35" s="6">
        <v>0.85</v>
      </c>
      <c r="I35">
        <f t="shared" si="0"/>
        <v>0.85</v>
      </c>
      <c r="J35">
        <f t="shared" si="1"/>
        <v>0</v>
      </c>
      <c r="K35">
        <f t="shared" si="2"/>
        <v>0</v>
      </c>
    </row>
    <row r="36" spans="1:26" x14ac:dyDescent="0.2">
      <c r="G36" s="5" t="s">
        <v>11</v>
      </c>
      <c r="H36" s="6">
        <v>0.65</v>
      </c>
      <c r="I36">
        <f t="shared" si="0"/>
        <v>0.65</v>
      </c>
      <c r="J36">
        <f t="shared" si="1"/>
        <v>0</v>
      </c>
      <c r="K36">
        <f t="shared" si="2"/>
        <v>0</v>
      </c>
    </row>
    <row r="37" spans="1:26" x14ac:dyDescent="0.2">
      <c r="G37" s="5" t="s">
        <v>53</v>
      </c>
      <c r="H37" s="6">
        <v>0.85</v>
      </c>
      <c r="I37">
        <f t="shared" si="0"/>
        <v>0.85</v>
      </c>
      <c r="J37">
        <f t="shared" si="1"/>
        <v>0</v>
      </c>
      <c r="K37">
        <f t="shared" si="2"/>
        <v>0</v>
      </c>
    </row>
    <row r="38" spans="1:26" x14ac:dyDescent="0.2">
      <c r="G38" s="5" t="s">
        <v>11</v>
      </c>
      <c r="H38" s="6">
        <v>0.65</v>
      </c>
      <c r="I38">
        <f t="shared" si="0"/>
        <v>0.65</v>
      </c>
      <c r="J38">
        <f t="shared" si="1"/>
        <v>0</v>
      </c>
      <c r="K38">
        <f t="shared" si="2"/>
        <v>0</v>
      </c>
    </row>
    <row r="39" spans="1:26" x14ac:dyDescent="0.2">
      <c r="G39" s="5" t="s">
        <v>83</v>
      </c>
      <c r="H39" s="6">
        <v>0.95</v>
      </c>
      <c r="I39">
        <f t="shared" si="0"/>
        <v>0.95</v>
      </c>
      <c r="J39">
        <f t="shared" si="1"/>
        <v>0</v>
      </c>
      <c r="K39">
        <f t="shared" si="2"/>
        <v>0</v>
      </c>
    </row>
    <row r="40" spans="1:26" x14ac:dyDescent="0.2">
      <c r="G40" s="5" t="s">
        <v>32</v>
      </c>
      <c r="H40" s="6">
        <v>0.75</v>
      </c>
      <c r="I40">
        <f t="shared" si="0"/>
        <v>0.75</v>
      </c>
      <c r="J40">
        <f t="shared" si="1"/>
        <v>0</v>
      </c>
      <c r="K40">
        <f t="shared" si="2"/>
        <v>0</v>
      </c>
    </row>
    <row r="41" spans="1:26" x14ac:dyDescent="0.2">
      <c r="G41" s="5" t="s">
        <v>41</v>
      </c>
      <c r="H41" s="6">
        <v>0.65</v>
      </c>
      <c r="I41">
        <f t="shared" si="0"/>
        <v>0.75</v>
      </c>
      <c r="J41">
        <f t="shared" si="1"/>
        <v>-9.9999999999999978E-2</v>
      </c>
      <c r="K41">
        <f t="shared" si="2"/>
        <v>9.9999999999999978E-2</v>
      </c>
      <c r="M41" t="s">
        <v>97</v>
      </c>
      <c r="N41" t="s">
        <v>94</v>
      </c>
    </row>
    <row r="42" spans="1:26" x14ac:dyDescent="0.2">
      <c r="G42" s="5" t="s">
        <v>62</v>
      </c>
      <c r="H42" s="6">
        <v>0.95</v>
      </c>
      <c r="I42">
        <f t="shared" si="0"/>
        <v>0.85</v>
      </c>
      <c r="J42">
        <f t="shared" si="1"/>
        <v>9.9999999999999978E-2</v>
      </c>
      <c r="K42">
        <f t="shared" si="2"/>
        <v>9.9999999999999978E-2</v>
      </c>
      <c r="M42" t="s">
        <v>93</v>
      </c>
      <c r="N42">
        <v>0.65</v>
      </c>
      <c r="O42">
        <v>0.75</v>
      </c>
      <c r="P42">
        <v>0.85</v>
      </c>
      <c r="Q42">
        <v>0.95</v>
      </c>
      <c r="R42" t="s">
        <v>92</v>
      </c>
    </row>
    <row r="43" spans="1:26" x14ac:dyDescent="0.2">
      <c r="G43" s="5" t="s">
        <v>83</v>
      </c>
      <c r="H43" s="6">
        <v>0.95</v>
      </c>
      <c r="I43">
        <f t="shared" si="0"/>
        <v>0.95</v>
      </c>
      <c r="J43">
        <f t="shared" si="1"/>
        <v>0</v>
      </c>
      <c r="K43">
        <f t="shared" si="2"/>
        <v>0</v>
      </c>
      <c r="M43" s="8">
        <v>0.65</v>
      </c>
      <c r="N43" s="14">
        <v>0.96</v>
      </c>
      <c r="O43" s="16">
        <v>0.04</v>
      </c>
      <c r="P43" s="9">
        <v>0</v>
      </c>
      <c r="Q43" s="9">
        <v>0</v>
      </c>
      <c r="R43" s="9">
        <v>1</v>
      </c>
    </row>
    <row r="44" spans="1:26" x14ac:dyDescent="0.2">
      <c r="G44" s="5" t="s">
        <v>11</v>
      </c>
      <c r="H44" s="6">
        <v>0.65</v>
      </c>
      <c r="I44">
        <f t="shared" si="0"/>
        <v>0.65</v>
      </c>
      <c r="J44">
        <f t="shared" si="1"/>
        <v>0</v>
      </c>
      <c r="K44">
        <f t="shared" si="2"/>
        <v>0</v>
      </c>
      <c r="M44" s="8">
        <v>0.75</v>
      </c>
      <c r="N44" s="9">
        <v>0</v>
      </c>
      <c r="O44" s="14">
        <v>0.90909090909090906</v>
      </c>
      <c r="P44" s="16">
        <v>9.0909090909090912E-2</v>
      </c>
      <c r="Q44" s="9">
        <v>0</v>
      </c>
      <c r="R44" s="9">
        <v>1</v>
      </c>
    </row>
    <row r="45" spans="1:26" x14ac:dyDescent="0.2">
      <c r="G45" s="5" t="s">
        <v>20</v>
      </c>
      <c r="H45" s="6">
        <v>0.65</v>
      </c>
      <c r="I45">
        <f t="shared" si="0"/>
        <v>0.65</v>
      </c>
      <c r="J45">
        <f t="shared" si="1"/>
        <v>0</v>
      </c>
      <c r="K45">
        <f t="shared" si="2"/>
        <v>0</v>
      </c>
      <c r="M45" s="8">
        <v>0.85</v>
      </c>
      <c r="N45" s="9">
        <v>0</v>
      </c>
      <c r="O45" s="16">
        <v>0.10344827586206896</v>
      </c>
      <c r="P45" s="14">
        <v>0.82758620689655171</v>
      </c>
      <c r="Q45" s="16">
        <v>6.8965517241379309E-2</v>
      </c>
      <c r="R45" s="9">
        <v>1</v>
      </c>
    </row>
    <row r="46" spans="1:26" x14ac:dyDescent="0.2">
      <c r="G46" s="5" t="s">
        <v>53</v>
      </c>
      <c r="H46" s="6">
        <v>0.85</v>
      </c>
      <c r="I46">
        <f t="shared" si="0"/>
        <v>0.85</v>
      </c>
      <c r="J46">
        <f t="shared" si="1"/>
        <v>0</v>
      </c>
      <c r="K46">
        <f t="shared" si="2"/>
        <v>0</v>
      </c>
      <c r="M46" s="8">
        <v>0.95</v>
      </c>
      <c r="N46" s="9">
        <v>0</v>
      </c>
      <c r="O46" s="9">
        <v>0</v>
      </c>
      <c r="P46" s="9">
        <v>0</v>
      </c>
      <c r="Q46" s="14">
        <v>1</v>
      </c>
      <c r="R46" s="9">
        <v>1</v>
      </c>
    </row>
    <row r="47" spans="1:26" x14ac:dyDescent="0.2">
      <c r="G47" s="5" t="s">
        <v>32</v>
      </c>
      <c r="H47" s="6">
        <v>0.75</v>
      </c>
      <c r="I47">
        <f t="shared" si="0"/>
        <v>0.75</v>
      </c>
      <c r="J47">
        <f t="shared" si="1"/>
        <v>0</v>
      </c>
      <c r="K47">
        <f t="shared" si="2"/>
        <v>0</v>
      </c>
      <c r="M47" s="8" t="s">
        <v>92</v>
      </c>
      <c r="N47" s="9">
        <v>0.24</v>
      </c>
      <c r="O47" s="9">
        <v>0.24</v>
      </c>
      <c r="P47" s="9">
        <v>0.26</v>
      </c>
      <c r="Q47" s="9">
        <v>0.26</v>
      </c>
      <c r="R47" s="9">
        <v>1</v>
      </c>
    </row>
    <row r="48" spans="1:26" x14ac:dyDescent="0.2">
      <c r="G48" s="5" t="s">
        <v>83</v>
      </c>
      <c r="H48" s="6">
        <v>0.95</v>
      </c>
      <c r="I48">
        <f t="shared" si="0"/>
        <v>0.95</v>
      </c>
      <c r="J48">
        <f t="shared" si="1"/>
        <v>0</v>
      </c>
      <c r="K48">
        <f t="shared" si="2"/>
        <v>0</v>
      </c>
    </row>
    <row r="49" spans="7:11" x14ac:dyDescent="0.2">
      <c r="G49" s="5" t="s">
        <v>20</v>
      </c>
      <c r="H49" s="6">
        <v>0.65</v>
      </c>
      <c r="I49">
        <f t="shared" si="0"/>
        <v>0.65</v>
      </c>
      <c r="J49">
        <f t="shared" si="1"/>
        <v>0</v>
      </c>
      <c r="K49">
        <f t="shared" si="2"/>
        <v>0</v>
      </c>
    </row>
    <row r="50" spans="7:11" x14ac:dyDescent="0.2">
      <c r="G50" s="5" t="s">
        <v>32</v>
      </c>
      <c r="H50" s="6">
        <v>0.75</v>
      </c>
      <c r="I50">
        <f t="shared" si="0"/>
        <v>0.75</v>
      </c>
      <c r="J50">
        <f t="shared" si="1"/>
        <v>0</v>
      </c>
      <c r="K50">
        <f t="shared" si="2"/>
        <v>0</v>
      </c>
    </row>
    <row r="51" spans="7:11" x14ac:dyDescent="0.2">
      <c r="G51" s="5" t="s">
        <v>41</v>
      </c>
      <c r="H51" s="6">
        <v>0.65</v>
      </c>
      <c r="I51">
        <f t="shared" si="0"/>
        <v>0.75</v>
      </c>
      <c r="J51">
        <f t="shared" si="1"/>
        <v>-9.9999999999999978E-2</v>
      </c>
      <c r="K51">
        <f t="shared" si="2"/>
        <v>9.9999999999999978E-2</v>
      </c>
    </row>
    <row r="52" spans="7:11" x14ac:dyDescent="0.2">
      <c r="G52" s="5" t="s">
        <v>32</v>
      </c>
      <c r="H52" s="6">
        <v>0.75</v>
      </c>
      <c r="I52">
        <f t="shared" si="0"/>
        <v>0.75</v>
      </c>
      <c r="J52">
        <f t="shared" si="1"/>
        <v>0</v>
      </c>
      <c r="K52">
        <f t="shared" si="2"/>
        <v>0</v>
      </c>
    </row>
    <row r="53" spans="7:11" x14ac:dyDescent="0.2">
      <c r="G53" s="5" t="s">
        <v>74</v>
      </c>
      <c r="H53" s="6">
        <v>0.95</v>
      </c>
      <c r="I53">
        <f t="shared" si="0"/>
        <v>0.95</v>
      </c>
      <c r="J53">
        <f t="shared" si="1"/>
        <v>0</v>
      </c>
      <c r="K53">
        <f t="shared" si="2"/>
        <v>0</v>
      </c>
    </row>
    <row r="54" spans="7:11" x14ac:dyDescent="0.2">
      <c r="G54" s="5" t="s">
        <v>32</v>
      </c>
      <c r="H54" s="6">
        <v>0.85</v>
      </c>
      <c r="I54">
        <f t="shared" si="0"/>
        <v>0.75</v>
      </c>
      <c r="J54">
        <f t="shared" si="1"/>
        <v>9.9999999999999978E-2</v>
      </c>
      <c r="K54">
        <f t="shared" si="2"/>
        <v>9.9999999999999978E-2</v>
      </c>
    </row>
    <row r="55" spans="7:11" x14ac:dyDescent="0.2">
      <c r="G55" s="5" t="s">
        <v>41</v>
      </c>
      <c r="H55" s="6">
        <v>0.65</v>
      </c>
      <c r="I55">
        <f t="shared" si="0"/>
        <v>0.75</v>
      </c>
      <c r="J55">
        <f t="shared" si="1"/>
        <v>-9.9999999999999978E-2</v>
      </c>
      <c r="K55">
        <f t="shared" si="2"/>
        <v>9.9999999999999978E-2</v>
      </c>
    </row>
    <row r="56" spans="7:11" x14ac:dyDescent="0.2">
      <c r="G56" s="5" t="s">
        <v>83</v>
      </c>
      <c r="H56" s="6">
        <v>0.95</v>
      </c>
      <c r="I56">
        <f t="shared" si="0"/>
        <v>0.95</v>
      </c>
      <c r="J56">
        <f t="shared" si="1"/>
        <v>0</v>
      </c>
      <c r="K56">
        <f t="shared" si="2"/>
        <v>0</v>
      </c>
    </row>
    <row r="57" spans="7:11" x14ac:dyDescent="0.2">
      <c r="G57" s="5" t="s">
        <v>53</v>
      </c>
      <c r="H57" s="6">
        <v>0.85</v>
      </c>
      <c r="I57">
        <f t="shared" si="0"/>
        <v>0.85</v>
      </c>
      <c r="J57">
        <f t="shared" si="1"/>
        <v>0</v>
      </c>
      <c r="K57">
        <f t="shared" si="2"/>
        <v>0</v>
      </c>
    </row>
    <row r="58" spans="7:11" x14ac:dyDescent="0.2">
      <c r="G58" s="5" t="s">
        <v>62</v>
      </c>
      <c r="H58" s="6">
        <v>0.75</v>
      </c>
      <c r="I58">
        <f t="shared" si="0"/>
        <v>0.85</v>
      </c>
      <c r="J58">
        <f t="shared" si="1"/>
        <v>-9.9999999999999978E-2</v>
      </c>
      <c r="K58">
        <f t="shared" si="2"/>
        <v>9.9999999999999978E-2</v>
      </c>
    </row>
    <row r="59" spans="7:11" x14ac:dyDescent="0.2">
      <c r="G59" s="5" t="s">
        <v>53</v>
      </c>
      <c r="H59" s="6">
        <v>0.85</v>
      </c>
      <c r="I59">
        <f t="shared" si="0"/>
        <v>0.85</v>
      </c>
      <c r="J59">
        <f t="shared" si="1"/>
        <v>0</v>
      </c>
      <c r="K59">
        <f t="shared" si="2"/>
        <v>0</v>
      </c>
    </row>
    <row r="60" spans="7:11" x14ac:dyDescent="0.2">
      <c r="G60" s="5" t="s">
        <v>41</v>
      </c>
      <c r="H60" s="6">
        <v>0.95</v>
      </c>
      <c r="I60">
        <f t="shared" si="0"/>
        <v>0.75</v>
      </c>
      <c r="J60">
        <f t="shared" si="1"/>
        <v>0.19999999999999996</v>
      </c>
      <c r="K60">
        <f t="shared" si="2"/>
        <v>0.19999999999999996</v>
      </c>
    </row>
    <row r="61" spans="7:11" x14ac:dyDescent="0.2">
      <c r="G61" s="5" t="s">
        <v>83</v>
      </c>
      <c r="H61" s="6">
        <v>0.95</v>
      </c>
      <c r="I61">
        <f t="shared" si="0"/>
        <v>0.95</v>
      </c>
      <c r="J61">
        <f t="shared" si="1"/>
        <v>0</v>
      </c>
      <c r="K61">
        <f t="shared" si="2"/>
        <v>0</v>
      </c>
    </row>
    <row r="62" spans="7:11" x14ac:dyDescent="0.2">
      <c r="G62" s="5" t="s">
        <v>11</v>
      </c>
      <c r="H62" s="6">
        <v>0.65</v>
      </c>
      <c r="I62">
        <f t="shared" si="0"/>
        <v>0.65</v>
      </c>
      <c r="J62">
        <f t="shared" si="1"/>
        <v>0</v>
      </c>
      <c r="K62">
        <f t="shared" si="2"/>
        <v>0</v>
      </c>
    </row>
    <row r="63" spans="7:11" x14ac:dyDescent="0.2">
      <c r="G63" s="5" t="s">
        <v>62</v>
      </c>
      <c r="H63" s="6">
        <v>0.65</v>
      </c>
      <c r="I63">
        <f t="shared" si="0"/>
        <v>0.85</v>
      </c>
      <c r="J63">
        <f t="shared" si="1"/>
        <v>-0.19999999999999996</v>
      </c>
      <c r="K63">
        <f t="shared" si="2"/>
        <v>0.19999999999999996</v>
      </c>
    </row>
    <row r="64" spans="7:11" x14ac:dyDescent="0.2">
      <c r="G64" s="5" t="s">
        <v>41</v>
      </c>
      <c r="H64" s="6">
        <v>0.95</v>
      </c>
      <c r="I64">
        <f t="shared" si="0"/>
        <v>0.75</v>
      </c>
      <c r="J64">
        <f t="shared" si="1"/>
        <v>0.19999999999999996</v>
      </c>
      <c r="K64">
        <f t="shared" si="2"/>
        <v>0.19999999999999996</v>
      </c>
    </row>
    <row r="65" spans="7:11" x14ac:dyDescent="0.2">
      <c r="G65" s="5" t="s">
        <v>53</v>
      </c>
      <c r="H65" s="6">
        <v>0.85</v>
      </c>
      <c r="I65">
        <f t="shared" si="0"/>
        <v>0.85</v>
      </c>
      <c r="J65">
        <f t="shared" si="1"/>
        <v>0</v>
      </c>
      <c r="K65">
        <f t="shared" si="2"/>
        <v>0</v>
      </c>
    </row>
    <row r="66" spans="7:11" x14ac:dyDescent="0.2">
      <c r="G66" s="5" t="s">
        <v>83</v>
      </c>
      <c r="H66" s="6">
        <v>0.95</v>
      </c>
      <c r="I66">
        <f t="shared" si="0"/>
        <v>0.95</v>
      </c>
      <c r="J66">
        <f t="shared" si="1"/>
        <v>0</v>
      </c>
      <c r="K66">
        <f t="shared" si="2"/>
        <v>0</v>
      </c>
    </row>
    <row r="67" spans="7:11" x14ac:dyDescent="0.2">
      <c r="G67" s="5" t="s">
        <v>32</v>
      </c>
      <c r="H67" s="6">
        <v>0.75</v>
      </c>
      <c r="I67">
        <f t="shared" ref="I67:I101" si="3">_xlfn.XLOOKUP(G67,$C$2:$C$35,$A$2:$A$35)</f>
        <v>0.75</v>
      </c>
      <c r="J67">
        <f t="shared" ref="J67:J101" si="4">((H67-I67))</f>
        <v>0</v>
      </c>
      <c r="K67">
        <f t="shared" ref="K67:K101" si="5">IF(J67&gt;0,J67,-J67)</f>
        <v>0</v>
      </c>
    </row>
    <row r="68" spans="7:11" x14ac:dyDescent="0.2">
      <c r="G68" s="5" t="s">
        <v>62</v>
      </c>
      <c r="H68" s="6">
        <v>0.95</v>
      </c>
      <c r="I68">
        <f t="shared" si="3"/>
        <v>0.85</v>
      </c>
      <c r="J68">
        <f t="shared" si="4"/>
        <v>9.9999999999999978E-2</v>
      </c>
      <c r="K68">
        <f t="shared" si="5"/>
        <v>9.9999999999999978E-2</v>
      </c>
    </row>
    <row r="69" spans="7:11" x14ac:dyDescent="0.2">
      <c r="G69" s="5" t="s">
        <v>41</v>
      </c>
      <c r="H69" s="6">
        <v>0.75</v>
      </c>
      <c r="I69">
        <f t="shared" si="3"/>
        <v>0.75</v>
      </c>
      <c r="J69">
        <f t="shared" si="4"/>
        <v>0</v>
      </c>
      <c r="K69">
        <f t="shared" si="5"/>
        <v>0</v>
      </c>
    </row>
    <row r="70" spans="7:11" x14ac:dyDescent="0.2">
      <c r="G70" s="5" t="s">
        <v>32</v>
      </c>
      <c r="H70" s="6">
        <v>0.75</v>
      </c>
      <c r="I70">
        <f t="shared" si="3"/>
        <v>0.75</v>
      </c>
      <c r="J70">
        <f t="shared" si="4"/>
        <v>0</v>
      </c>
      <c r="K70">
        <f t="shared" si="5"/>
        <v>0</v>
      </c>
    </row>
    <row r="71" spans="7:11" x14ac:dyDescent="0.2">
      <c r="G71" s="5" t="s">
        <v>74</v>
      </c>
      <c r="H71" s="6">
        <v>0.95</v>
      </c>
      <c r="I71">
        <f t="shared" si="3"/>
        <v>0.95</v>
      </c>
      <c r="J71">
        <f t="shared" si="4"/>
        <v>0</v>
      </c>
      <c r="K71">
        <f t="shared" si="5"/>
        <v>0</v>
      </c>
    </row>
    <row r="72" spans="7:11" x14ac:dyDescent="0.2">
      <c r="G72" s="5" t="s">
        <v>83</v>
      </c>
      <c r="H72" s="6">
        <v>0.95</v>
      </c>
      <c r="I72">
        <f t="shared" si="3"/>
        <v>0.95</v>
      </c>
      <c r="J72">
        <f t="shared" si="4"/>
        <v>0</v>
      </c>
      <c r="K72">
        <f t="shared" si="5"/>
        <v>0</v>
      </c>
    </row>
    <row r="73" spans="7:11" x14ac:dyDescent="0.2">
      <c r="G73" s="5" t="s">
        <v>74</v>
      </c>
      <c r="H73" s="6">
        <v>0.95</v>
      </c>
      <c r="I73">
        <f t="shared" si="3"/>
        <v>0.95</v>
      </c>
      <c r="J73">
        <f t="shared" si="4"/>
        <v>0</v>
      </c>
      <c r="K73">
        <f t="shared" si="5"/>
        <v>0</v>
      </c>
    </row>
    <row r="74" spans="7:11" x14ac:dyDescent="0.2">
      <c r="G74" s="5" t="s">
        <v>11</v>
      </c>
      <c r="H74" s="6">
        <v>0.65</v>
      </c>
      <c r="I74">
        <f t="shared" si="3"/>
        <v>0.65</v>
      </c>
      <c r="J74">
        <f t="shared" si="4"/>
        <v>0</v>
      </c>
      <c r="K74">
        <f t="shared" si="5"/>
        <v>0</v>
      </c>
    </row>
    <row r="75" spans="7:11" x14ac:dyDescent="0.2">
      <c r="G75" s="5" t="s">
        <v>11</v>
      </c>
      <c r="H75" s="6">
        <v>0.65</v>
      </c>
      <c r="I75">
        <f t="shared" si="3"/>
        <v>0.65</v>
      </c>
      <c r="J75">
        <f t="shared" si="4"/>
        <v>0</v>
      </c>
      <c r="K75">
        <f t="shared" si="5"/>
        <v>0</v>
      </c>
    </row>
    <row r="76" spans="7:11" x14ac:dyDescent="0.2">
      <c r="G76" s="5" t="s">
        <v>20</v>
      </c>
      <c r="H76" s="6">
        <v>0.65</v>
      </c>
      <c r="I76">
        <f t="shared" si="3"/>
        <v>0.65</v>
      </c>
      <c r="J76">
        <f t="shared" si="4"/>
        <v>0</v>
      </c>
      <c r="K76">
        <f t="shared" si="5"/>
        <v>0</v>
      </c>
    </row>
    <row r="77" spans="7:11" x14ac:dyDescent="0.2">
      <c r="G77" s="5" t="s">
        <v>83</v>
      </c>
      <c r="H77" s="6">
        <v>0.95</v>
      </c>
      <c r="I77">
        <f t="shared" si="3"/>
        <v>0.95</v>
      </c>
      <c r="J77">
        <f t="shared" si="4"/>
        <v>0</v>
      </c>
      <c r="K77">
        <f t="shared" si="5"/>
        <v>0</v>
      </c>
    </row>
    <row r="78" spans="7:11" x14ac:dyDescent="0.2">
      <c r="G78" s="5" t="s">
        <v>62</v>
      </c>
      <c r="H78" s="6">
        <v>0.95</v>
      </c>
      <c r="I78">
        <f t="shared" si="3"/>
        <v>0.85</v>
      </c>
      <c r="J78">
        <f t="shared" si="4"/>
        <v>9.9999999999999978E-2</v>
      </c>
      <c r="K78">
        <f t="shared" si="5"/>
        <v>9.9999999999999978E-2</v>
      </c>
    </row>
    <row r="79" spans="7:11" x14ac:dyDescent="0.2">
      <c r="G79" s="5" t="s">
        <v>41</v>
      </c>
      <c r="H79" s="6">
        <v>0.95</v>
      </c>
      <c r="I79">
        <f t="shared" si="3"/>
        <v>0.75</v>
      </c>
      <c r="J79">
        <f t="shared" si="4"/>
        <v>0.19999999999999996</v>
      </c>
      <c r="K79">
        <f t="shared" si="5"/>
        <v>0.19999999999999996</v>
      </c>
    </row>
    <row r="80" spans="7:11" x14ac:dyDescent="0.2">
      <c r="G80" s="5" t="s">
        <v>53</v>
      </c>
      <c r="H80" s="6">
        <v>0.85</v>
      </c>
      <c r="I80">
        <f t="shared" si="3"/>
        <v>0.85</v>
      </c>
      <c r="J80">
        <f t="shared" si="4"/>
        <v>0</v>
      </c>
      <c r="K80">
        <f t="shared" si="5"/>
        <v>0</v>
      </c>
    </row>
    <row r="81" spans="7:11" x14ac:dyDescent="0.2">
      <c r="G81" s="5" t="s">
        <v>53</v>
      </c>
      <c r="H81" s="6">
        <v>0.85</v>
      </c>
      <c r="I81">
        <f t="shared" si="3"/>
        <v>0.85</v>
      </c>
      <c r="J81">
        <f t="shared" si="4"/>
        <v>0</v>
      </c>
      <c r="K81">
        <f t="shared" si="5"/>
        <v>0</v>
      </c>
    </row>
    <row r="82" spans="7:11" x14ac:dyDescent="0.2">
      <c r="G82" s="5" t="s">
        <v>83</v>
      </c>
      <c r="H82" s="6">
        <v>0.95</v>
      </c>
      <c r="I82">
        <f t="shared" si="3"/>
        <v>0.95</v>
      </c>
      <c r="J82">
        <f t="shared" si="4"/>
        <v>0</v>
      </c>
      <c r="K82">
        <f t="shared" si="5"/>
        <v>0</v>
      </c>
    </row>
    <row r="83" spans="7:11" x14ac:dyDescent="0.2">
      <c r="G83" s="5" t="s">
        <v>53</v>
      </c>
      <c r="H83" s="6">
        <v>0.85</v>
      </c>
      <c r="I83">
        <f t="shared" si="3"/>
        <v>0.85</v>
      </c>
      <c r="J83">
        <f t="shared" si="4"/>
        <v>0</v>
      </c>
      <c r="K83">
        <f t="shared" si="5"/>
        <v>0</v>
      </c>
    </row>
    <row r="84" spans="7:11" x14ac:dyDescent="0.2">
      <c r="G84" s="5" t="s">
        <v>74</v>
      </c>
      <c r="H84" s="6">
        <v>0.95</v>
      </c>
      <c r="I84">
        <f t="shared" si="3"/>
        <v>0.95</v>
      </c>
      <c r="J84">
        <f t="shared" si="4"/>
        <v>0</v>
      </c>
      <c r="K84">
        <f t="shared" si="5"/>
        <v>0</v>
      </c>
    </row>
    <row r="85" spans="7:11" x14ac:dyDescent="0.2">
      <c r="G85" s="5" t="s">
        <v>11</v>
      </c>
      <c r="H85" s="6">
        <v>0.65</v>
      </c>
      <c r="I85">
        <f t="shared" si="3"/>
        <v>0.65</v>
      </c>
      <c r="J85">
        <f t="shared" si="4"/>
        <v>0</v>
      </c>
      <c r="K85">
        <f t="shared" si="5"/>
        <v>0</v>
      </c>
    </row>
    <row r="86" spans="7:11" x14ac:dyDescent="0.2">
      <c r="G86" s="5" t="s">
        <v>83</v>
      </c>
      <c r="H86" s="6">
        <v>0.95</v>
      </c>
      <c r="I86">
        <f t="shared" si="3"/>
        <v>0.95</v>
      </c>
      <c r="J86">
        <f t="shared" si="4"/>
        <v>0</v>
      </c>
      <c r="K86">
        <f t="shared" si="5"/>
        <v>0</v>
      </c>
    </row>
    <row r="87" spans="7:11" x14ac:dyDescent="0.2">
      <c r="G87" s="5" t="s">
        <v>62</v>
      </c>
      <c r="H87" s="6">
        <v>0.85</v>
      </c>
      <c r="I87">
        <f t="shared" si="3"/>
        <v>0.85</v>
      </c>
      <c r="J87">
        <f t="shared" si="4"/>
        <v>0</v>
      </c>
      <c r="K87">
        <f t="shared" si="5"/>
        <v>0</v>
      </c>
    </row>
    <row r="88" spans="7:11" x14ac:dyDescent="0.2">
      <c r="G88" s="5" t="s">
        <v>11</v>
      </c>
      <c r="H88" s="6">
        <v>0.65</v>
      </c>
      <c r="I88">
        <f t="shared" si="3"/>
        <v>0.65</v>
      </c>
      <c r="J88">
        <f t="shared" si="4"/>
        <v>0</v>
      </c>
      <c r="K88">
        <f t="shared" si="5"/>
        <v>0</v>
      </c>
    </row>
    <row r="89" spans="7:11" x14ac:dyDescent="0.2">
      <c r="G89" s="5" t="s">
        <v>53</v>
      </c>
      <c r="H89" s="6">
        <v>0.75</v>
      </c>
      <c r="I89">
        <f t="shared" si="3"/>
        <v>0.85</v>
      </c>
      <c r="J89">
        <f t="shared" si="4"/>
        <v>-9.9999999999999978E-2</v>
      </c>
      <c r="K89">
        <f t="shared" si="5"/>
        <v>9.9999999999999978E-2</v>
      </c>
    </row>
    <row r="90" spans="7:11" x14ac:dyDescent="0.2">
      <c r="G90" s="5" t="s">
        <v>74</v>
      </c>
      <c r="H90" s="6">
        <v>0.95</v>
      </c>
      <c r="I90">
        <f t="shared" si="3"/>
        <v>0.95</v>
      </c>
      <c r="J90">
        <f t="shared" si="4"/>
        <v>0</v>
      </c>
      <c r="K90">
        <f t="shared" si="5"/>
        <v>0</v>
      </c>
    </row>
    <row r="91" spans="7:11" x14ac:dyDescent="0.2">
      <c r="G91" s="5" t="s">
        <v>32</v>
      </c>
      <c r="H91" s="6">
        <v>0.75</v>
      </c>
      <c r="I91">
        <f t="shared" si="3"/>
        <v>0.75</v>
      </c>
      <c r="J91">
        <f t="shared" si="4"/>
        <v>0</v>
      </c>
      <c r="K91">
        <f t="shared" si="5"/>
        <v>0</v>
      </c>
    </row>
    <row r="92" spans="7:11" x14ac:dyDescent="0.2">
      <c r="G92" s="5" t="s">
        <v>53</v>
      </c>
      <c r="H92" s="6">
        <v>0.85</v>
      </c>
      <c r="I92">
        <f t="shared" si="3"/>
        <v>0.85</v>
      </c>
      <c r="J92">
        <f t="shared" si="4"/>
        <v>0</v>
      </c>
      <c r="K92">
        <f t="shared" si="5"/>
        <v>0</v>
      </c>
    </row>
    <row r="93" spans="7:11" x14ac:dyDescent="0.2">
      <c r="G93" s="5" t="s">
        <v>41</v>
      </c>
      <c r="H93" s="6">
        <v>0.75</v>
      </c>
      <c r="I93">
        <f t="shared" si="3"/>
        <v>0.75</v>
      </c>
      <c r="J93">
        <f t="shared" si="4"/>
        <v>0</v>
      </c>
      <c r="K93">
        <f t="shared" si="5"/>
        <v>0</v>
      </c>
    </row>
    <row r="94" spans="7:11" x14ac:dyDescent="0.2">
      <c r="G94" s="5" t="s">
        <v>11</v>
      </c>
      <c r="H94" s="6">
        <v>0.65</v>
      </c>
      <c r="I94">
        <f t="shared" si="3"/>
        <v>0.65</v>
      </c>
      <c r="J94">
        <f t="shared" si="4"/>
        <v>0</v>
      </c>
      <c r="K94">
        <f t="shared" si="5"/>
        <v>0</v>
      </c>
    </row>
    <row r="95" spans="7:11" x14ac:dyDescent="0.2">
      <c r="G95" s="5" t="s">
        <v>83</v>
      </c>
      <c r="H95" s="6">
        <v>0.95</v>
      </c>
      <c r="I95">
        <f t="shared" si="3"/>
        <v>0.95</v>
      </c>
      <c r="J95">
        <f t="shared" si="4"/>
        <v>0</v>
      </c>
      <c r="K95">
        <f t="shared" si="5"/>
        <v>0</v>
      </c>
    </row>
    <row r="96" spans="7:11" x14ac:dyDescent="0.2">
      <c r="G96" s="5" t="s">
        <v>74</v>
      </c>
      <c r="H96" s="6">
        <v>0.95</v>
      </c>
      <c r="I96">
        <f t="shared" si="3"/>
        <v>0.95</v>
      </c>
      <c r="J96">
        <f t="shared" si="4"/>
        <v>0</v>
      </c>
      <c r="K96">
        <f t="shared" si="5"/>
        <v>0</v>
      </c>
    </row>
    <row r="97" spans="7:11" x14ac:dyDescent="0.2">
      <c r="G97" s="5" t="s">
        <v>83</v>
      </c>
      <c r="H97" s="6">
        <v>0.95</v>
      </c>
      <c r="I97">
        <f t="shared" si="3"/>
        <v>0.95</v>
      </c>
      <c r="J97">
        <f t="shared" si="4"/>
        <v>0</v>
      </c>
      <c r="K97">
        <f t="shared" si="5"/>
        <v>0</v>
      </c>
    </row>
    <row r="98" spans="7:11" x14ac:dyDescent="0.2">
      <c r="G98" s="5" t="s">
        <v>32</v>
      </c>
      <c r="H98" s="6">
        <v>0.85</v>
      </c>
      <c r="I98">
        <f t="shared" si="3"/>
        <v>0.75</v>
      </c>
      <c r="J98">
        <f t="shared" si="4"/>
        <v>9.9999999999999978E-2</v>
      </c>
      <c r="K98">
        <f t="shared" si="5"/>
        <v>9.9999999999999978E-2</v>
      </c>
    </row>
    <row r="99" spans="7:11" x14ac:dyDescent="0.2">
      <c r="G99" s="5" t="s">
        <v>20</v>
      </c>
      <c r="H99" s="6">
        <v>0.65</v>
      </c>
      <c r="I99">
        <f t="shared" si="3"/>
        <v>0.65</v>
      </c>
      <c r="J99">
        <f t="shared" si="4"/>
        <v>0</v>
      </c>
      <c r="K99">
        <f t="shared" si="5"/>
        <v>0</v>
      </c>
    </row>
    <row r="100" spans="7:11" x14ac:dyDescent="0.2">
      <c r="G100" s="5" t="s">
        <v>53</v>
      </c>
      <c r="H100" s="6">
        <v>0.75</v>
      </c>
      <c r="I100">
        <f t="shared" si="3"/>
        <v>0.85</v>
      </c>
      <c r="J100">
        <f t="shared" si="4"/>
        <v>-9.9999999999999978E-2</v>
      </c>
      <c r="K100">
        <f t="shared" si="5"/>
        <v>9.9999999999999978E-2</v>
      </c>
    </row>
    <row r="101" spans="7:11" x14ac:dyDescent="0.2">
      <c r="G101" s="5" t="s">
        <v>41</v>
      </c>
      <c r="H101" s="6">
        <v>0.75</v>
      </c>
      <c r="I101">
        <f t="shared" si="3"/>
        <v>0.75</v>
      </c>
      <c r="J101">
        <f t="shared" si="4"/>
        <v>0</v>
      </c>
      <c r="K101">
        <f t="shared" si="5"/>
        <v>0</v>
      </c>
    </row>
    <row r="102" spans="7:11" x14ac:dyDescent="0.2">
      <c r="G102" s="5" t="s">
        <v>11</v>
      </c>
      <c r="H102" s="6">
        <v>0.65</v>
      </c>
      <c r="I102">
        <f t="shared" ref="I102:I151" si="6">_xlfn.XLOOKUP(G102,$C$2:$C$35,$A$2:$A$35)</f>
        <v>0.65</v>
      </c>
      <c r="J102">
        <f t="shared" ref="J102:J151" si="7">((H102-I102))</f>
        <v>0</v>
      </c>
      <c r="K102">
        <f t="shared" ref="K102:K151" si="8">IF(J102&gt;0,J102,-J102)</f>
        <v>0</v>
      </c>
    </row>
    <row r="103" spans="7:11" x14ac:dyDescent="0.2">
      <c r="G103" s="5" t="s">
        <v>41</v>
      </c>
      <c r="H103" s="6">
        <v>0.75</v>
      </c>
      <c r="I103">
        <f t="shared" si="6"/>
        <v>0.75</v>
      </c>
      <c r="J103">
        <f t="shared" si="7"/>
        <v>0</v>
      </c>
      <c r="K103">
        <f t="shared" si="8"/>
        <v>0</v>
      </c>
    </row>
    <row r="104" spans="7:11" x14ac:dyDescent="0.2">
      <c r="G104" s="5" t="s">
        <v>32</v>
      </c>
      <c r="H104" s="6">
        <v>0.85</v>
      </c>
      <c r="I104">
        <f t="shared" si="6"/>
        <v>0.75</v>
      </c>
      <c r="J104">
        <f t="shared" si="7"/>
        <v>9.9999999999999978E-2</v>
      </c>
      <c r="K104">
        <f t="shared" si="8"/>
        <v>9.9999999999999978E-2</v>
      </c>
    </row>
    <row r="105" spans="7:11" x14ac:dyDescent="0.2">
      <c r="G105" s="5" t="s">
        <v>62</v>
      </c>
      <c r="H105" s="6">
        <v>0.75</v>
      </c>
      <c r="I105">
        <f t="shared" si="6"/>
        <v>0.85</v>
      </c>
      <c r="J105">
        <f t="shared" si="7"/>
        <v>-9.9999999999999978E-2</v>
      </c>
      <c r="K105">
        <f t="shared" si="8"/>
        <v>9.9999999999999978E-2</v>
      </c>
    </row>
    <row r="106" spans="7:11" x14ac:dyDescent="0.2">
      <c r="G106" s="5" t="s">
        <v>20</v>
      </c>
      <c r="H106" s="6">
        <v>0.65</v>
      </c>
      <c r="I106">
        <f t="shared" si="6"/>
        <v>0.65</v>
      </c>
      <c r="J106">
        <f t="shared" si="7"/>
        <v>0</v>
      </c>
      <c r="K106">
        <f t="shared" si="8"/>
        <v>0</v>
      </c>
    </row>
    <row r="107" spans="7:11" x14ac:dyDescent="0.2">
      <c r="G107" s="5" t="s">
        <v>41</v>
      </c>
      <c r="H107" s="6">
        <v>0.95</v>
      </c>
      <c r="I107">
        <f t="shared" si="6"/>
        <v>0.75</v>
      </c>
      <c r="J107">
        <f t="shared" si="7"/>
        <v>0.19999999999999996</v>
      </c>
      <c r="K107">
        <f t="shared" si="8"/>
        <v>0.19999999999999996</v>
      </c>
    </row>
    <row r="108" spans="7:11" x14ac:dyDescent="0.2">
      <c r="G108" s="5" t="s">
        <v>11</v>
      </c>
      <c r="H108" s="6">
        <v>0.65</v>
      </c>
      <c r="I108">
        <f t="shared" si="6"/>
        <v>0.65</v>
      </c>
      <c r="J108">
        <f t="shared" si="7"/>
        <v>0</v>
      </c>
      <c r="K108">
        <f t="shared" si="8"/>
        <v>0</v>
      </c>
    </row>
    <row r="109" spans="7:11" x14ac:dyDescent="0.2">
      <c r="G109" s="5" t="s">
        <v>74</v>
      </c>
      <c r="H109" s="6">
        <v>0.95</v>
      </c>
      <c r="I109">
        <f t="shared" si="6"/>
        <v>0.95</v>
      </c>
      <c r="J109">
        <f t="shared" si="7"/>
        <v>0</v>
      </c>
      <c r="K109">
        <f t="shared" si="8"/>
        <v>0</v>
      </c>
    </row>
    <row r="110" spans="7:11" x14ac:dyDescent="0.2">
      <c r="G110" s="5" t="s">
        <v>62</v>
      </c>
      <c r="H110" s="6">
        <v>0.85</v>
      </c>
      <c r="I110">
        <f t="shared" si="6"/>
        <v>0.85</v>
      </c>
      <c r="J110">
        <f t="shared" si="7"/>
        <v>0</v>
      </c>
      <c r="K110">
        <f t="shared" si="8"/>
        <v>0</v>
      </c>
    </row>
    <row r="111" spans="7:11" x14ac:dyDescent="0.2">
      <c r="G111" s="5" t="s">
        <v>74</v>
      </c>
      <c r="H111" s="6">
        <v>0.95</v>
      </c>
      <c r="I111">
        <f t="shared" si="6"/>
        <v>0.95</v>
      </c>
      <c r="J111">
        <f t="shared" si="7"/>
        <v>0</v>
      </c>
      <c r="K111">
        <f t="shared" si="8"/>
        <v>0</v>
      </c>
    </row>
    <row r="112" spans="7:11" x14ac:dyDescent="0.2">
      <c r="G112" s="5" t="s">
        <v>62</v>
      </c>
      <c r="H112" s="6">
        <v>0.75</v>
      </c>
      <c r="I112">
        <f t="shared" si="6"/>
        <v>0.85</v>
      </c>
      <c r="J112">
        <f t="shared" si="7"/>
        <v>-9.9999999999999978E-2</v>
      </c>
      <c r="K112">
        <f t="shared" si="8"/>
        <v>9.9999999999999978E-2</v>
      </c>
    </row>
    <row r="113" spans="7:11" x14ac:dyDescent="0.2">
      <c r="G113" s="5" t="s">
        <v>20</v>
      </c>
      <c r="H113" s="6">
        <v>0.85</v>
      </c>
      <c r="I113">
        <f t="shared" si="6"/>
        <v>0.65</v>
      </c>
      <c r="J113">
        <f t="shared" si="7"/>
        <v>0.19999999999999996</v>
      </c>
      <c r="K113">
        <f t="shared" si="8"/>
        <v>0.19999999999999996</v>
      </c>
    </row>
    <row r="114" spans="7:11" x14ac:dyDescent="0.2">
      <c r="G114" s="5" t="s">
        <v>20</v>
      </c>
      <c r="H114" s="6">
        <v>0.65</v>
      </c>
      <c r="I114">
        <f t="shared" si="6"/>
        <v>0.65</v>
      </c>
      <c r="J114">
        <f t="shared" si="7"/>
        <v>0</v>
      </c>
      <c r="K114">
        <f t="shared" si="8"/>
        <v>0</v>
      </c>
    </row>
    <row r="115" spans="7:11" x14ac:dyDescent="0.2">
      <c r="G115" s="5" t="s">
        <v>62</v>
      </c>
      <c r="H115" s="6">
        <v>0.85</v>
      </c>
      <c r="I115">
        <f t="shared" si="6"/>
        <v>0.85</v>
      </c>
      <c r="J115">
        <f t="shared" si="7"/>
        <v>0</v>
      </c>
      <c r="K115">
        <f t="shared" si="8"/>
        <v>0</v>
      </c>
    </row>
    <row r="116" spans="7:11" x14ac:dyDescent="0.2">
      <c r="G116" s="5" t="s">
        <v>20</v>
      </c>
      <c r="H116" s="6">
        <v>0.75</v>
      </c>
      <c r="I116">
        <f t="shared" si="6"/>
        <v>0.65</v>
      </c>
      <c r="J116">
        <f t="shared" si="7"/>
        <v>9.9999999999999978E-2</v>
      </c>
      <c r="K116">
        <f t="shared" si="8"/>
        <v>9.9999999999999978E-2</v>
      </c>
    </row>
    <row r="117" spans="7:11" x14ac:dyDescent="0.2">
      <c r="G117" s="5" t="s">
        <v>41</v>
      </c>
      <c r="H117" s="6">
        <v>0.65</v>
      </c>
      <c r="I117">
        <f t="shared" si="6"/>
        <v>0.75</v>
      </c>
      <c r="J117">
        <f t="shared" si="7"/>
        <v>-9.9999999999999978E-2</v>
      </c>
      <c r="K117">
        <f t="shared" si="8"/>
        <v>9.9999999999999978E-2</v>
      </c>
    </row>
    <row r="118" spans="7:11" x14ac:dyDescent="0.2">
      <c r="G118" s="5" t="s">
        <v>20</v>
      </c>
      <c r="H118" s="6">
        <v>0.65</v>
      </c>
      <c r="I118">
        <f t="shared" si="6"/>
        <v>0.65</v>
      </c>
      <c r="J118">
        <f t="shared" si="7"/>
        <v>0</v>
      </c>
      <c r="K118">
        <f t="shared" si="8"/>
        <v>0</v>
      </c>
    </row>
    <row r="119" spans="7:11" x14ac:dyDescent="0.2">
      <c r="G119" s="5" t="s">
        <v>83</v>
      </c>
      <c r="H119" s="6">
        <v>0.95</v>
      </c>
      <c r="I119">
        <f t="shared" si="6"/>
        <v>0.95</v>
      </c>
      <c r="J119">
        <f t="shared" si="7"/>
        <v>0</v>
      </c>
      <c r="K119">
        <f t="shared" si="8"/>
        <v>0</v>
      </c>
    </row>
    <row r="120" spans="7:11" x14ac:dyDescent="0.2">
      <c r="G120" s="5" t="s">
        <v>83</v>
      </c>
      <c r="H120" s="6">
        <v>0.95</v>
      </c>
      <c r="I120">
        <f t="shared" si="6"/>
        <v>0.95</v>
      </c>
      <c r="J120">
        <f t="shared" si="7"/>
        <v>0</v>
      </c>
      <c r="K120">
        <f t="shared" si="8"/>
        <v>0</v>
      </c>
    </row>
    <row r="121" spans="7:11" x14ac:dyDescent="0.2">
      <c r="G121" s="5" t="s">
        <v>74</v>
      </c>
      <c r="H121" s="6">
        <v>0.85</v>
      </c>
      <c r="I121">
        <f t="shared" si="6"/>
        <v>0.95</v>
      </c>
      <c r="J121">
        <f t="shared" si="7"/>
        <v>-9.9999999999999978E-2</v>
      </c>
      <c r="K121">
        <f t="shared" si="8"/>
        <v>9.9999999999999978E-2</v>
      </c>
    </row>
    <row r="122" spans="7:11" x14ac:dyDescent="0.2">
      <c r="G122" s="5" t="s">
        <v>11</v>
      </c>
      <c r="H122" s="6">
        <v>0.65</v>
      </c>
      <c r="I122">
        <f t="shared" si="6"/>
        <v>0.65</v>
      </c>
      <c r="J122">
        <f t="shared" si="7"/>
        <v>0</v>
      </c>
      <c r="K122">
        <f t="shared" si="8"/>
        <v>0</v>
      </c>
    </row>
    <row r="123" spans="7:11" x14ac:dyDescent="0.2">
      <c r="G123" s="5" t="s">
        <v>83</v>
      </c>
      <c r="H123" s="6">
        <v>0.95</v>
      </c>
      <c r="I123">
        <f t="shared" si="6"/>
        <v>0.95</v>
      </c>
      <c r="J123">
        <f t="shared" si="7"/>
        <v>0</v>
      </c>
      <c r="K123">
        <f t="shared" si="8"/>
        <v>0</v>
      </c>
    </row>
    <row r="124" spans="7:11" x14ac:dyDescent="0.2">
      <c r="G124" s="5" t="s">
        <v>41</v>
      </c>
      <c r="H124" s="6">
        <v>0.95</v>
      </c>
      <c r="I124">
        <f t="shared" si="6"/>
        <v>0.75</v>
      </c>
      <c r="J124">
        <f t="shared" si="7"/>
        <v>0.19999999999999996</v>
      </c>
      <c r="K124">
        <f t="shared" si="8"/>
        <v>0.19999999999999996</v>
      </c>
    </row>
    <row r="125" spans="7:11" x14ac:dyDescent="0.2">
      <c r="G125" s="5" t="s">
        <v>53</v>
      </c>
      <c r="H125" s="6">
        <v>0.85</v>
      </c>
      <c r="I125">
        <f t="shared" si="6"/>
        <v>0.85</v>
      </c>
      <c r="J125">
        <f t="shared" si="7"/>
        <v>0</v>
      </c>
      <c r="K125">
        <f t="shared" si="8"/>
        <v>0</v>
      </c>
    </row>
    <row r="126" spans="7:11" x14ac:dyDescent="0.2">
      <c r="G126" s="5" t="s">
        <v>41</v>
      </c>
      <c r="H126" s="6">
        <v>0.65</v>
      </c>
      <c r="I126">
        <f t="shared" si="6"/>
        <v>0.75</v>
      </c>
      <c r="J126">
        <f t="shared" si="7"/>
        <v>-9.9999999999999978E-2</v>
      </c>
      <c r="K126">
        <f t="shared" si="8"/>
        <v>9.9999999999999978E-2</v>
      </c>
    </row>
    <row r="127" spans="7:11" x14ac:dyDescent="0.2">
      <c r="G127" s="5" t="s">
        <v>20</v>
      </c>
      <c r="H127" s="6">
        <v>0.65</v>
      </c>
      <c r="I127">
        <f t="shared" si="6"/>
        <v>0.65</v>
      </c>
      <c r="J127">
        <f t="shared" si="7"/>
        <v>0</v>
      </c>
      <c r="K127">
        <f t="shared" si="8"/>
        <v>0</v>
      </c>
    </row>
    <row r="128" spans="7:11" x14ac:dyDescent="0.2">
      <c r="G128" s="5" t="s">
        <v>74</v>
      </c>
      <c r="H128" s="6">
        <v>0.95</v>
      </c>
      <c r="I128">
        <f t="shared" si="6"/>
        <v>0.95</v>
      </c>
      <c r="J128">
        <f t="shared" si="7"/>
        <v>0</v>
      </c>
      <c r="K128">
        <f t="shared" si="8"/>
        <v>0</v>
      </c>
    </row>
    <row r="129" spans="7:11" x14ac:dyDescent="0.2">
      <c r="G129" s="5" t="s">
        <v>53</v>
      </c>
      <c r="H129" s="6">
        <v>0.75</v>
      </c>
      <c r="I129">
        <f t="shared" si="6"/>
        <v>0.85</v>
      </c>
      <c r="J129">
        <f t="shared" si="7"/>
        <v>-9.9999999999999978E-2</v>
      </c>
      <c r="K129">
        <f t="shared" si="8"/>
        <v>9.9999999999999978E-2</v>
      </c>
    </row>
    <row r="130" spans="7:11" x14ac:dyDescent="0.2">
      <c r="G130" s="5" t="s">
        <v>11</v>
      </c>
      <c r="H130" s="6">
        <v>0.65</v>
      </c>
      <c r="I130">
        <f t="shared" si="6"/>
        <v>0.65</v>
      </c>
      <c r="J130">
        <f t="shared" si="7"/>
        <v>0</v>
      </c>
      <c r="K130">
        <f t="shared" si="8"/>
        <v>0</v>
      </c>
    </row>
    <row r="131" spans="7:11" x14ac:dyDescent="0.2">
      <c r="G131" s="5" t="s">
        <v>53</v>
      </c>
      <c r="H131" s="6">
        <v>0.85</v>
      </c>
      <c r="I131">
        <f t="shared" si="6"/>
        <v>0.85</v>
      </c>
      <c r="J131">
        <f t="shared" si="7"/>
        <v>0</v>
      </c>
      <c r="K131">
        <f t="shared" si="8"/>
        <v>0</v>
      </c>
    </row>
    <row r="132" spans="7:11" x14ac:dyDescent="0.2">
      <c r="G132" s="5" t="s">
        <v>41</v>
      </c>
      <c r="H132" s="6">
        <v>0.65</v>
      </c>
      <c r="I132">
        <f t="shared" si="6"/>
        <v>0.75</v>
      </c>
      <c r="J132">
        <f t="shared" si="7"/>
        <v>-9.9999999999999978E-2</v>
      </c>
      <c r="K132">
        <f t="shared" si="8"/>
        <v>9.9999999999999978E-2</v>
      </c>
    </row>
    <row r="133" spans="7:11" x14ac:dyDescent="0.2">
      <c r="G133" s="5" t="s">
        <v>32</v>
      </c>
      <c r="H133" s="6">
        <v>0.75</v>
      </c>
      <c r="I133">
        <f t="shared" si="6"/>
        <v>0.75</v>
      </c>
      <c r="J133">
        <f t="shared" si="7"/>
        <v>0</v>
      </c>
      <c r="K133">
        <f t="shared" si="8"/>
        <v>0</v>
      </c>
    </row>
    <row r="134" spans="7:11" x14ac:dyDescent="0.2">
      <c r="G134" s="5" t="s">
        <v>11</v>
      </c>
      <c r="H134" s="6">
        <v>0.65</v>
      </c>
      <c r="I134">
        <f t="shared" si="6"/>
        <v>0.65</v>
      </c>
      <c r="J134">
        <f t="shared" si="7"/>
        <v>0</v>
      </c>
      <c r="K134">
        <f t="shared" si="8"/>
        <v>0</v>
      </c>
    </row>
    <row r="135" spans="7:11" x14ac:dyDescent="0.2">
      <c r="G135" s="5" t="s">
        <v>83</v>
      </c>
      <c r="H135" s="6">
        <v>0.95</v>
      </c>
      <c r="I135">
        <f t="shared" si="6"/>
        <v>0.95</v>
      </c>
      <c r="J135">
        <f t="shared" si="7"/>
        <v>0</v>
      </c>
      <c r="K135">
        <f t="shared" si="8"/>
        <v>0</v>
      </c>
    </row>
    <row r="136" spans="7:11" x14ac:dyDescent="0.2">
      <c r="G136" s="5" t="s">
        <v>62</v>
      </c>
      <c r="H136" s="6">
        <v>0.95</v>
      </c>
      <c r="I136">
        <f t="shared" si="6"/>
        <v>0.85</v>
      </c>
      <c r="J136">
        <f t="shared" si="7"/>
        <v>9.9999999999999978E-2</v>
      </c>
      <c r="K136">
        <f t="shared" si="8"/>
        <v>9.9999999999999978E-2</v>
      </c>
    </row>
    <row r="137" spans="7:11" x14ac:dyDescent="0.2">
      <c r="G137" s="5" t="s">
        <v>53</v>
      </c>
      <c r="H137" s="6">
        <v>0.85</v>
      </c>
      <c r="I137">
        <f t="shared" si="6"/>
        <v>0.85</v>
      </c>
      <c r="J137">
        <f t="shared" si="7"/>
        <v>0</v>
      </c>
      <c r="K137">
        <f t="shared" si="8"/>
        <v>0</v>
      </c>
    </row>
    <row r="138" spans="7:11" x14ac:dyDescent="0.2">
      <c r="G138" s="5" t="s">
        <v>41</v>
      </c>
      <c r="H138" s="6">
        <v>0.95</v>
      </c>
      <c r="I138">
        <f t="shared" si="6"/>
        <v>0.75</v>
      </c>
      <c r="J138">
        <f t="shared" si="7"/>
        <v>0.19999999999999996</v>
      </c>
      <c r="K138">
        <f t="shared" si="8"/>
        <v>0.19999999999999996</v>
      </c>
    </row>
    <row r="139" spans="7:11" x14ac:dyDescent="0.2">
      <c r="G139" s="5" t="s">
        <v>32</v>
      </c>
      <c r="H139" s="6">
        <v>0.75</v>
      </c>
      <c r="I139">
        <f t="shared" si="6"/>
        <v>0.75</v>
      </c>
      <c r="J139">
        <f t="shared" si="7"/>
        <v>0</v>
      </c>
      <c r="K139">
        <f t="shared" si="8"/>
        <v>0</v>
      </c>
    </row>
    <row r="140" spans="7:11" x14ac:dyDescent="0.2">
      <c r="G140" s="5" t="s">
        <v>53</v>
      </c>
      <c r="H140" s="6">
        <v>0.95</v>
      </c>
      <c r="I140">
        <f t="shared" si="6"/>
        <v>0.85</v>
      </c>
      <c r="J140">
        <f t="shared" si="7"/>
        <v>9.9999999999999978E-2</v>
      </c>
      <c r="K140">
        <f t="shared" si="8"/>
        <v>9.9999999999999978E-2</v>
      </c>
    </row>
    <row r="141" spans="7:11" x14ac:dyDescent="0.2">
      <c r="G141" s="5" t="s">
        <v>83</v>
      </c>
      <c r="H141" s="6">
        <v>0.95</v>
      </c>
      <c r="I141">
        <f t="shared" si="6"/>
        <v>0.95</v>
      </c>
      <c r="J141">
        <f t="shared" si="7"/>
        <v>0</v>
      </c>
      <c r="K141">
        <f t="shared" si="8"/>
        <v>0</v>
      </c>
    </row>
    <row r="142" spans="7:11" x14ac:dyDescent="0.2">
      <c r="G142" s="5" t="s">
        <v>20</v>
      </c>
      <c r="H142" s="6">
        <v>0.65</v>
      </c>
      <c r="I142">
        <f t="shared" si="6"/>
        <v>0.65</v>
      </c>
      <c r="J142">
        <f t="shared" si="7"/>
        <v>0</v>
      </c>
      <c r="K142">
        <f t="shared" si="8"/>
        <v>0</v>
      </c>
    </row>
    <row r="143" spans="7:11" x14ac:dyDescent="0.2">
      <c r="G143" s="5" t="s">
        <v>41</v>
      </c>
      <c r="H143" s="6">
        <v>0.65</v>
      </c>
      <c r="I143">
        <f t="shared" si="6"/>
        <v>0.75</v>
      </c>
      <c r="J143">
        <f t="shared" si="7"/>
        <v>-9.9999999999999978E-2</v>
      </c>
      <c r="K143">
        <f t="shared" si="8"/>
        <v>9.9999999999999978E-2</v>
      </c>
    </row>
    <row r="144" spans="7:11" x14ac:dyDescent="0.2">
      <c r="G144" s="5" t="s">
        <v>53</v>
      </c>
      <c r="H144" s="6">
        <v>0.95</v>
      </c>
      <c r="I144">
        <f t="shared" si="6"/>
        <v>0.85</v>
      </c>
      <c r="J144">
        <f t="shared" si="7"/>
        <v>9.9999999999999978E-2</v>
      </c>
      <c r="K144">
        <f t="shared" si="8"/>
        <v>9.9999999999999978E-2</v>
      </c>
    </row>
    <row r="145" spans="7:11" x14ac:dyDescent="0.2">
      <c r="G145" s="5" t="s">
        <v>32</v>
      </c>
      <c r="H145" s="6">
        <v>0.75</v>
      </c>
      <c r="I145">
        <f t="shared" si="6"/>
        <v>0.75</v>
      </c>
      <c r="J145">
        <f t="shared" si="7"/>
        <v>0</v>
      </c>
      <c r="K145">
        <f t="shared" si="8"/>
        <v>0</v>
      </c>
    </row>
    <row r="146" spans="7:11" x14ac:dyDescent="0.2">
      <c r="G146" s="5" t="s">
        <v>41</v>
      </c>
      <c r="H146" s="6">
        <v>0.95</v>
      </c>
      <c r="I146">
        <f t="shared" si="6"/>
        <v>0.75</v>
      </c>
      <c r="J146">
        <f t="shared" si="7"/>
        <v>0.19999999999999996</v>
      </c>
      <c r="K146">
        <f t="shared" si="8"/>
        <v>0.19999999999999996</v>
      </c>
    </row>
    <row r="147" spans="7:11" x14ac:dyDescent="0.2">
      <c r="G147" s="5" t="s">
        <v>83</v>
      </c>
      <c r="H147" s="6">
        <v>0.95</v>
      </c>
      <c r="I147">
        <f t="shared" si="6"/>
        <v>0.95</v>
      </c>
      <c r="J147">
        <f t="shared" si="7"/>
        <v>0</v>
      </c>
      <c r="K147">
        <f t="shared" si="8"/>
        <v>0</v>
      </c>
    </row>
    <row r="148" spans="7:11" x14ac:dyDescent="0.2">
      <c r="G148" s="5" t="s">
        <v>83</v>
      </c>
      <c r="H148" s="6">
        <v>0.95</v>
      </c>
      <c r="I148">
        <f t="shared" si="6"/>
        <v>0.95</v>
      </c>
      <c r="J148">
        <f t="shared" si="7"/>
        <v>0</v>
      </c>
      <c r="K148">
        <f t="shared" si="8"/>
        <v>0</v>
      </c>
    </row>
    <row r="149" spans="7:11" x14ac:dyDescent="0.2">
      <c r="G149" s="5" t="s">
        <v>62</v>
      </c>
      <c r="H149" s="6">
        <v>0.75</v>
      </c>
      <c r="I149">
        <f t="shared" si="6"/>
        <v>0.85</v>
      </c>
      <c r="J149">
        <f t="shared" si="7"/>
        <v>-9.9999999999999978E-2</v>
      </c>
      <c r="K149">
        <f t="shared" si="8"/>
        <v>9.9999999999999978E-2</v>
      </c>
    </row>
    <row r="150" spans="7:11" x14ac:dyDescent="0.2">
      <c r="G150" s="5" t="s">
        <v>83</v>
      </c>
      <c r="H150" s="6">
        <v>0.95</v>
      </c>
      <c r="I150">
        <f t="shared" si="6"/>
        <v>0.95</v>
      </c>
      <c r="J150">
        <f t="shared" si="7"/>
        <v>0</v>
      </c>
      <c r="K150">
        <f t="shared" si="8"/>
        <v>0</v>
      </c>
    </row>
    <row r="151" spans="7:11" x14ac:dyDescent="0.2">
      <c r="G151" s="5" t="s">
        <v>11</v>
      </c>
      <c r="H151" s="6">
        <v>0.65</v>
      </c>
      <c r="I151">
        <f t="shared" si="6"/>
        <v>0.65</v>
      </c>
      <c r="J151">
        <f t="shared" si="7"/>
        <v>0</v>
      </c>
      <c r="K151">
        <f t="shared" si="8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7775-85A7-5245-96CA-4F574195D314}">
  <dimension ref="A1:K54"/>
  <sheetViews>
    <sheetView zoomScale="94" workbookViewId="0">
      <selection activeCell="N24" sqref="N24"/>
    </sheetView>
  </sheetViews>
  <sheetFormatPr baseColWidth="10" defaultRowHeight="16" x14ac:dyDescent="0.2"/>
  <cols>
    <col min="13" max="13" width="16.33203125" bestFit="1" customWidth="1"/>
    <col min="14" max="14" width="16" bestFit="1" customWidth="1"/>
    <col min="15" max="17" width="7.1640625" bestFit="1" customWidth="1"/>
    <col min="18" max="20" width="10.5" bestFit="1" customWidth="1"/>
    <col min="21" max="21" width="14.83203125" bestFit="1" customWidth="1"/>
    <col min="22" max="22" width="16" bestFit="1" customWidth="1"/>
    <col min="23" max="25" width="5.1640625" bestFit="1" customWidth="1"/>
    <col min="26" max="26" width="7" bestFit="1" customWidth="1"/>
    <col min="27" max="27" width="10.5" bestFit="1" customWidth="1"/>
  </cols>
  <sheetData>
    <row r="1" spans="1:1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</row>
    <row r="2" spans="1:11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83</v>
      </c>
      <c r="H2" s="6">
        <v>0.95</v>
      </c>
      <c r="I2">
        <f>_xlfn.XLOOKUP(G2,$C$2:$C$35,$A$2:$A$35)</f>
        <v>0.95</v>
      </c>
      <c r="J2">
        <f>((H2-I2))</f>
        <v>0</v>
      </c>
      <c r="K2">
        <f>IF(J2&gt;0,J2,-J2)</f>
        <v>0</v>
      </c>
    </row>
    <row r="3" spans="1:11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11</v>
      </c>
      <c r="H3" s="6">
        <v>0.65</v>
      </c>
      <c r="I3">
        <f t="shared" ref="I3:I51" si="0">_xlfn.XLOOKUP(G3,$C$2:$C$35,$A$2:$A$35)</f>
        <v>0.65</v>
      </c>
      <c r="J3">
        <f t="shared" ref="J3:J51" si="1">((H3-I3))</f>
        <v>0</v>
      </c>
      <c r="K3">
        <f t="shared" ref="K3:K51" si="2">IF(J3&gt;0,J3,-J3)</f>
        <v>0</v>
      </c>
    </row>
    <row r="4" spans="1:11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41</v>
      </c>
      <c r="H4" s="6">
        <v>0.75</v>
      </c>
      <c r="I4">
        <f t="shared" si="0"/>
        <v>0.75</v>
      </c>
      <c r="J4">
        <f t="shared" si="1"/>
        <v>0</v>
      </c>
      <c r="K4">
        <f t="shared" si="2"/>
        <v>0</v>
      </c>
    </row>
    <row r="5" spans="1:11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0.75</v>
      </c>
      <c r="I5">
        <f t="shared" si="0"/>
        <v>0.85</v>
      </c>
      <c r="J5">
        <f t="shared" si="1"/>
        <v>-9.9999999999999978E-2</v>
      </c>
      <c r="K5">
        <f t="shared" si="2"/>
        <v>9.9999999999999978E-2</v>
      </c>
    </row>
    <row r="6" spans="1:11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0.85</v>
      </c>
      <c r="I6">
        <f t="shared" si="0"/>
        <v>0.95</v>
      </c>
      <c r="J6">
        <f t="shared" si="1"/>
        <v>-9.9999999999999978E-2</v>
      </c>
      <c r="K6">
        <f t="shared" si="2"/>
        <v>9.9999999999999978E-2</v>
      </c>
    </row>
    <row r="7" spans="1:11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41</v>
      </c>
      <c r="H7" s="6">
        <v>0.75</v>
      </c>
      <c r="I7">
        <f t="shared" si="0"/>
        <v>0.75</v>
      </c>
      <c r="J7">
        <f t="shared" si="1"/>
        <v>0</v>
      </c>
      <c r="K7">
        <f t="shared" si="2"/>
        <v>0</v>
      </c>
    </row>
    <row r="8" spans="1:11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62</v>
      </c>
      <c r="H8" s="6">
        <v>0.85</v>
      </c>
      <c r="I8">
        <f t="shared" si="0"/>
        <v>0.85</v>
      </c>
      <c r="J8">
        <f t="shared" si="1"/>
        <v>0</v>
      </c>
      <c r="K8">
        <f t="shared" si="2"/>
        <v>0</v>
      </c>
    </row>
    <row r="9" spans="1:11" x14ac:dyDescent="0.2">
      <c r="G9" s="5" t="s">
        <v>74</v>
      </c>
      <c r="H9" s="6">
        <v>0.95</v>
      </c>
      <c r="I9">
        <f t="shared" si="0"/>
        <v>0.95</v>
      </c>
      <c r="J9">
        <f t="shared" si="1"/>
        <v>0</v>
      </c>
      <c r="K9">
        <f t="shared" si="2"/>
        <v>0</v>
      </c>
    </row>
    <row r="10" spans="1:11" x14ac:dyDescent="0.2">
      <c r="G10" s="5" t="s">
        <v>83</v>
      </c>
      <c r="H10" s="6">
        <v>0.95</v>
      </c>
      <c r="I10">
        <f t="shared" si="0"/>
        <v>0.95</v>
      </c>
      <c r="J10">
        <f t="shared" si="1"/>
        <v>0</v>
      </c>
      <c r="K10">
        <f t="shared" si="2"/>
        <v>0</v>
      </c>
    </row>
    <row r="11" spans="1:11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32</v>
      </c>
      <c r="H11" s="6">
        <v>0.75</v>
      </c>
      <c r="I11">
        <f t="shared" si="0"/>
        <v>0.75</v>
      </c>
      <c r="J11">
        <f t="shared" si="1"/>
        <v>0</v>
      </c>
      <c r="K11">
        <f t="shared" si="2"/>
        <v>0</v>
      </c>
    </row>
    <row r="12" spans="1:11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11</v>
      </c>
      <c r="H12" s="6">
        <v>0.65</v>
      </c>
      <c r="I12">
        <f t="shared" si="0"/>
        <v>0.65</v>
      </c>
      <c r="J12">
        <f t="shared" si="1"/>
        <v>0</v>
      </c>
      <c r="K12">
        <f t="shared" si="2"/>
        <v>0</v>
      </c>
    </row>
    <row r="13" spans="1:11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74</v>
      </c>
      <c r="H13" s="6">
        <v>0.95</v>
      </c>
      <c r="I13">
        <f t="shared" si="0"/>
        <v>0.95</v>
      </c>
      <c r="J13">
        <f t="shared" si="1"/>
        <v>0</v>
      </c>
      <c r="K13">
        <f t="shared" si="2"/>
        <v>0</v>
      </c>
    </row>
    <row r="14" spans="1:11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0.85</v>
      </c>
      <c r="I14">
        <f t="shared" si="0"/>
        <v>0.85</v>
      </c>
      <c r="J14">
        <f t="shared" si="1"/>
        <v>0</v>
      </c>
      <c r="K14">
        <f t="shared" si="2"/>
        <v>0</v>
      </c>
    </row>
    <row r="15" spans="1:11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74</v>
      </c>
      <c r="H15" s="6">
        <v>0.95</v>
      </c>
      <c r="I15">
        <f t="shared" si="0"/>
        <v>0.95</v>
      </c>
      <c r="J15">
        <f t="shared" si="1"/>
        <v>0</v>
      </c>
      <c r="K15">
        <f t="shared" si="2"/>
        <v>0</v>
      </c>
    </row>
    <row r="16" spans="1:11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53</v>
      </c>
      <c r="H16" s="6">
        <v>0.85</v>
      </c>
      <c r="I16">
        <f t="shared" si="0"/>
        <v>0.85</v>
      </c>
      <c r="J16">
        <f t="shared" si="1"/>
        <v>0</v>
      </c>
      <c r="K16">
        <f t="shared" si="2"/>
        <v>0</v>
      </c>
    </row>
    <row r="17" spans="1:11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41</v>
      </c>
      <c r="H17" s="6">
        <v>0.75</v>
      </c>
      <c r="I17">
        <f t="shared" si="0"/>
        <v>0.75</v>
      </c>
      <c r="J17">
        <f t="shared" si="1"/>
        <v>0</v>
      </c>
      <c r="K17">
        <f t="shared" si="2"/>
        <v>0</v>
      </c>
    </row>
    <row r="18" spans="1:11" x14ac:dyDescent="0.2">
      <c r="G18" s="5" t="s">
        <v>11</v>
      </c>
      <c r="H18" s="6">
        <v>0.65</v>
      </c>
      <c r="I18">
        <f t="shared" si="0"/>
        <v>0.65</v>
      </c>
      <c r="J18">
        <f t="shared" si="1"/>
        <v>0</v>
      </c>
      <c r="K18">
        <f t="shared" si="2"/>
        <v>0</v>
      </c>
    </row>
    <row r="19" spans="1:11" x14ac:dyDescent="0.2">
      <c r="G19" s="5" t="s">
        <v>74</v>
      </c>
      <c r="H19" s="6">
        <v>0.95</v>
      </c>
      <c r="I19">
        <f t="shared" si="0"/>
        <v>0.95</v>
      </c>
      <c r="J19">
        <f t="shared" si="1"/>
        <v>0</v>
      </c>
      <c r="K19">
        <f t="shared" si="2"/>
        <v>0</v>
      </c>
    </row>
    <row r="20" spans="1:11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0.75</v>
      </c>
      <c r="I20">
        <f t="shared" si="0"/>
        <v>0.75</v>
      </c>
      <c r="J20">
        <f t="shared" si="1"/>
        <v>0</v>
      </c>
      <c r="K20">
        <f t="shared" si="2"/>
        <v>0</v>
      </c>
    </row>
    <row r="21" spans="1:11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41</v>
      </c>
      <c r="H21" s="6">
        <v>0.75</v>
      </c>
      <c r="I21">
        <f t="shared" si="0"/>
        <v>0.75</v>
      </c>
      <c r="J21">
        <f t="shared" si="1"/>
        <v>0</v>
      </c>
      <c r="K21">
        <f t="shared" si="2"/>
        <v>0</v>
      </c>
    </row>
    <row r="22" spans="1:11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11</v>
      </c>
      <c r="H22" s="6">
        <v>0.65</v>
      </c>
      <c r="I22">
        <f t="shared" si="0"/>
        <v>0.65</v>
      </c>
      <c r="J22">
        <f t="shared" si="1"/>
        <v>0</v>
      </c>
      <c r="K22">
        <f t="shared" si="2"/>
        <v>0</v>
      </c>
    </row>
    <row r="23" spans="1:11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53</v>
      </c>
      <c r="H23" s="6">
        <v>0.75</v>
      </c>
      <c r="I23">
        <f t="shared" si="0"/>
        <v>0.85</v>
      </c>
      <c r="J23">
        <f t="shared" si="1"/>
        <v>-9.9999999999999978E-2</v>
      </c>
      <c r="K23">
        <f t="shared" si="2"/>
        <v>9.9999999999999978E-2</v>
      </c>
    </row>
    <row r="24" spans="1:11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32</v>
      </c>
      <c r="H24" s="6">
        <v>0.85</v>
      </c>
      <c r="I24">
        <f t="shared" si="0"/>
        <v>0.75</v>
      </c>
      <c r="J24">
        <f t="shared" si="1"/>
        <v>9.9999999999999978E-2</v>
      </c>
      <c r="K24">
        <f t="shared" si="2"/>
        <v>9.9999999999999978E-2</v>
      </c>
    </row>
    <row r="25" spans="1:11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11</v>
      </c>
      <c r="H25" s="6">
        <v>0.65</v>
      </c>
      <c r="I25">
        <f t="shared" si="0"/>
        <v>0.65</v>
      </c>
      <c r="J25">
        <f t="shared" si="1"/>
        <v>0</v>
      </c>
      <c r="K25">
        <f t="shared" si="2"/>
        <v>0</v>
      </c>
    </row>
    <row r="26" spans="1:11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32</v>
      </c>
      <c r="H26" s="6">
        <v>0.75</v>
      </c>
      <c r="I26">
        <f t="shared" si="0"/>
        <v>0.75</v>
      </c>
      <c r="J26">
        <f t="shared" si="1"/>
        <v>0</v>
      </c>
      <c r="K26">
        <f t="shared" si="2"/>
        <v>0</v>
      </c>
    </row>
    <row r="27" spans="1:11" x14ac:dyDescent="0.2">
      <c r="G27" s="5" t="s">
        <v>53</v>
      </c>
      <c r="H27" s="6">
        <v>0.85</v>
      </c>
      <c r="I27">
        <f t="shared" si="0"/>
        <v>0.85</v>
      </c>
      <c r="J27">
        <f t="shared" si="1"/>
        <v>0</v>
      </c>
      <c r="K27">
        <f t="shared" si="2"/>
        <v>0</v>
      </c>
    </row>
    <row r="28" spans="1:11" x14ac:dyDescent="0.2">
      <c r="G28" s="5" t="s">
        <v>41</v>
      </c>
      <c r="H28" s="6">
        <v>0.75</v>
      </c>
      <c r="I28">
        <f t="shared" si="0"/>
        <v>0.75</v>
      </c>
      <c r="J28">
        <f t="shared" si="1"/>
        <v>0</v>
      </c>
      <c r="K28">
        <f t="shared" si="2"/>
        <v>0</v>
      </c>
    </row>
    <row r="29" spans="1:11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53</v>
      </c>
      <c r="H29" s="6">
        <v>0.85</v>
      </c>
      <c r="I29">
        <f t="shared" si="0"/>
        <v>0.85</v>
      </c>
      <c r="J29">
        <f t="shared" si="1"/>
        <v>0</v>
      </c>
      <c r="K29">
        <f t="shared" si="2"/>
        <v>0</v>
      </c>
    </row>
    <row r="30" spans="1:11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11</v>
      </c>
      <c r="H30" s="6">
        <v>0.65</v>
      </c>
      <c r="I30">
        <f t="shared" si="0"/>
        <v>0.65</v>
      </c>
      <c r="J30">
        <f t="shared" si="1"/>
        <v>0</v>
      </c>
      <c r="K30">
        <f t="shared" si="2"/>
        <v>0</v>
      </c>
    </row>
    <row r="31" spans="1:11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11</v>
      </c>
      <c r="H31" s="6">
        <v>0.65</v>
      </c>
      <c r="I31">
        <f t="shared" si="0"/>
        <v>0.65</v>
      </c>
      <c r="J31">
        <f t="shared" si="1"/>
        <v>0</v>
      </c>
      <c r="K31">
        <f t="shared" si="2"/>
        <v>0</v>
      </c>
    </row>
    <row r="32" spans="1:11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62</v>
      </c>
      <c r="H32" s="6">
        <v>0.95</v>
      </c>
      <c r="I32">
        <f t="shared" si="0"/>
        <v>0.85</v>
      </c>
      <c r="J32">
        <f t="shared" si="1"/>
        <v>9.9999999999999978E-2</v>
      </c>
      <c r="K32">
        <f t="shared" si="2"/>
        <v>9.9999999999999978E-2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20</v>
      </c>
      <c r="H33" s="6">
        <v>0.65</v>
      </c>
      <c r="I33">
        <f t="shared" si="0"/>
        <v>0.65</v>
      </c>
      <c r="J33">
        <f t="shared" si="1"/>
        <v>0</v>
      </c>
      <c r="K33">
        <f t="shared" si="2"/>
        <v>0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0.65</v>
      </c>
      <c r="I34">
        <f t="shared" si="0"/>
        <v>0.65</v>
      </c>
      <c r="J34">
        <f t="shared" si="1"/>
        <v>0</v>
      </c>
      <c r="K34">
        <f t="shared" si="2"/>
        <v>0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62</v>
      </c>
      <c r="H35" s="6">
        <v>0.85</v>
      </c>
      <c r="I35">
        <f t="shared" si="0"/>
        <v>0.85</v>
      </c>
      <c r="J35">
        <f t="shared" si="1"/>
        <v>0</v>
      </c>
      <c r="K35">
        <f t="shared" si="2"/>
        <v>0</v>
      </c>
    </row>
    <row r="36" spans="1:11" x14ac:dyDescent="0.2">
      <c r="G36" s="5" t="s">
        <v>62</v>
      </c>
      <c r="H36" s="6">
        <v>0.95</v>
      </c>
      <c r="I36">
        <f t="shared" si="0"/>
        <v>0.85</v>
      </c>
      <c r="J36">
        <f t="shared" si="1"/>
        <v>9.9999999999999978E-2</v>
      </c>
      <c r="K36">
        <f t="shared" si="2"/>
        <v>9.9999999999999978E-2</v>
      </c>
    </row>
    <row r="37" spans="1:11" x14ac:dyDescent="0.2">
      <c r="G37" s="5" t="s">
        <v>74</v>
      </c>
      <c r="H37" s="6">
        <v>0.95</v>
      </c>
      <c r="I37">
        <f t="shared" si="0"/>
        <v>0.95</v>
      </c>
      <c r="J37">
        <f t="shared" si="1"/>
        <v>0</v>
      </c>
      <c r="K37">
        <f t="shared" si="2"/>
        <v>0</v>
      </c>
    </row>
    <row r="38" spans="1:11" x14ac:dyDescent="0.2">
      <c r="G38" s="5" t="s">
        <v>20</v>
      </c>
      <c r="H38" s="6">
        <v>0.65</v>
      </c>
      <c r="I38">
        <f t="shared" si="0"/>
        <v>0.65</v>
      </c>
      <c r="J38">
        <f t="shared" si="1"/>
        <v>0</v>
      </c>
      <c r="K38">
        <f t="shared" si="2"/>
        <v>0</v>
      </c>
    </row>
    <row r="39" spans="1:11" x14ac:dyDescent="0.2">
      <c r="G39" s="5" t="s">
        <v>53</v>
      </c>
      <c r="H39" s="6">
        <v>0.85</v>
      </c>
      <c r="I39">
        <f t="shared" si="0"/>
        <v>0.85</v>
      </c>
      <c r="J39">
        <f t="shared" si="1"/>
        <v>0</v>
      </c>
      <c r="K39">
        <f t="shared" si="2"/>
        <v>0</v>
      </c>
    </row>
    <row r="40" spans="1:11" x14ac:dyDescent="0.2">
      <c r="G40" s="5" t="s">
        <v>74</v>
      </c>
      <c r="H40" s="6">
        <v>0.95</v>
      </c>
      <c r="I40">
        <f t="shared" si="0"/>
        <v>0.95</v>
      </c>
      <c r="J40">
        <f t="shared" si="1"/>
        <v>0</v>
      </c>
      <c r="K40">
        <f t="shared" si="2"/>
        <v>0</v>
      </c>
    </row>
    <row r="41" spans="1:11" x14ac:dyDescent="0.2">
      <c r="G41" s="5" t="s">
        <v>83</v>
      </c>
      <c r="H41" s="6">
        <v>0.95</v>
      </c>
      <c r="I41">
        <f t="shared" si="0"/>
        <v>0.95</v>
      </c>
      <c r="J41">
        <f t="shared" si="1"/>
        <v>0</v>
      </c>
      <c r="K41">
        <f t="shared" si="2"/>
        <v>0</v>
      </c>
    </row>
    <row r="42" spans="1:11" x14ac:dyDescent="0.2">
      <c r="G42" s="5" t="s">
        <v>62</v>
      </c>
      <c r="H42" s="6">
        <v>0.85</v>
      </c>
      <c r="I42">
        <f t="shared" si="0"/>
        <v>0.85</v>
      </c>
      <c r="J42">
        <f t="shared" si="1"/>
        <v>0</v>
      </c>
      <c r="K42">
        <f t="shared" si="2"/>
        <v>0</v>
      </c>
    </row>
    <row r="43" spans="1:11" x14ac:dyDescent="0.2">
      <c r="G43" s="5" t="s">
        <v>53</v>
      </c>
      <c r="H43" s="6">
        <v>0.85</v>
      </c>
      <c r="I43">
        <f t="shared" si="0"/>
        <v>0.85</v>
      </c>
      <c r="J43">
        <f t="shared" si="1"/>
        <v>0</v>
      </c>
      <c r="K43">
        <f t="shared" si="2"/>
        <v>0</v>
      </c>
    </row>
    <row r="44" spans="1:11" x14ac:dyDescent="0.2">
      <c r="G44" s="5" t="s">
        <v>20</v>
      </c>
      <c r="H44" s="6">
        <v>0.65</v>
      </c>
      <c r="I44">
        <f t="shared" si="0"/>
        <v>0.65</v>
      </c>
      <c r="J44">
        <f t="shared" si="1"/>
        <v>0</v>
      </c>
      <c r="K44">
        <f t="shared" si="2"/>
        <v>0</v>
      </c>
    </row>
    <row r="45" spans="1:11" x14ac:dyDescent="0.2">
      <c r="G45" s="5" t="s">
        <v>53</v>
      </c>
      <c r="H45" s="6">
        <v>0.85</v>
      </c>
      <c r="I45">
        <f t="shared" si="0"/>
        <v>0.85</v>
      </c>
      <c r="J45">
        <f t="shared" si="1"/>
        <v>0</v>
      </c>
      <c r="K45">
        <f t="shared" si="2"/>
        <v>0</v>
      </c>
    </row>
    <row r="46" spans="1:11" x14ac:dyDescent="0.2">
      <c r="G46" s="5" t="s">
        <v>74</v>
      </c>
      <c r="H46" s="6">
        <v>0.95</v>
      </c>
      <c r="I46">
        <f t="shared" si="0"/>
        <v>0.95</v>
      </c>
      <c r="J46">
        <f t="shared" si="1"/>
        <v>0</v>
      </c>
      <c r="K46">
        <f t="shared" si="2"/>
        <v>0</v>
      </c>
    </row>
    <row r="47" spans="1:11" x14ac:dyDescent="0.2">
      <c r="G47" s="5" t="s">
        <v>83</v>
      </c>
      <c r="H47" s="6">
        <v>0.95</v>
      </c>
      <c r="I47">
        <f t="shared" si="0"/>
        <v>0.95</v>
      </c>
      <c r="J47">
        <f t="shared" si="1"/>
        <v>0</v>
      </c>
      <c r="K47">
        <f t="shared" si="2"/>
        <v>0</v>
      </c>
    </row>
    <row r="48" spans="1:11" x14ac:dyDescent="0.2">
      <c r="G48" s="5" t="s">
        <v>83</v>
      </c>
      <c r="H48" s="6">
        <v>0.95</v>
      </c>
      <c r="I48">
        <f t="shared" si="0"/>
        <v>0.95</v>
      </c>
      <c r="J48">
        <f t="shared" si="1"/>
        <v>0</v>
      </c>
      <c r="K48">
        <f t="shared" si="2"/>
        <v>0</v>
      </c>
    </row>
    <row r="49" spans="7:11" x14ac:dyDescent="0.2">
      <c r="G49" s="5" t="s">
        <v>11</v>
      </c>
      <c r="H49" s="6">
        <v>0.65</v>
      </c>
      <c r="I49">
        <f t="shared" si="0"/>
        <v>0.65</v>
      </c>
      <c r="J49">
        <f t="shared" si="1"/>
        <v>0</v>
      </c>
      <c r="K49">
        <f t="shared" si="2"/>
        <v>0</v>
      </c>
    </row>
    <row r="50" spans="7:11" x14ac:dyDescent="0.2">
      <c r="G50" s="5" t="s">
        <v>83</v>
      </c>
      <c r="H50" s="6">
        <v>0.95</v>
      </c>
      <c r="I50">
        <f t="shared" si="0"/>
        <v>0.95</v>
      </c>
      <c r="J50">
        <f t="shared" si="1"/>
        <v>0</v>
      </c>
      <c r="K50">
        <f t="shared" si="2"/>
        <v>0</v>
      </c>
    </row>
    <row r="51" spans="7:11" x14ac:dyDescent="0.2">
      <c r="G51" s="5" t="s">
        <v>62</v>
      </c>
      <c r="H51" s="6">
        <v>0.95</v>
      </c>
      <c r="I51">
        <f t="shared" si="0"/>
        <v>0.85</v>
      </c>
      <c r="J51">
        <f t="shared" si="1"/>
        <v>9.9999999999999978E-2</v>
      </c>
      <c r="K51">
        <f t="shared" si="2"/>
        <v>9.9999999999999978E-2</v>
      </c>
    </row>
    <row r="54" spans="7:11" x14ac:dyDescent="0.2">
      <c r="K54">
        <f>AVERAGE(K2:K51)/0.3</f>
        <v>4.6666666666666655E-2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9242-4B77-0940-B1C9-C1F498A7C834}">
  <dimension ref="A1:M101"/>
  <sheetViews>
    <sheetView workbookViewId="0">
      <selection activeCell="N36" sqref="N36"/>
    </sheetView>
  </sheetViews>
  <sheetFormatPr baseColWidth="10" defaultRowHeight="16" x14ac:dyDescent="0.2"/>
  <cols>
    <col min="13" max="13" width="16.33203125" bestFit="1" customWidth="1"/>
    <col min="14" max="14" width="16" bestFit="1" customWidth="1"/>
    <col min="15" max="17" width="7.1640625" bestFit="1" customWidth="1"/>
    <col min="18" max="20" width="10.5" bestFit="1" customWidth="1"/>
    <col min="21" max="21" width="14.83203125" bestFit="1" customWidth="1"/>
    <col min="22" max="22" width="16" bestFit="1" customWidth="1"/>
    <col min="23" max="25" width="5.1640625" bestFit="1" customWidth="1"/>
    <col min="26" max="26" width="7" bestFit="1" customWidth="1"/>
    <col min="27" max="27" width="10.5" bestFit="1" customWidth="1"/>
  </cols>
  <sheetData>
    <row r="1" spans="1:1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99</v>
      </c>
      <c r="I1" t="s">
        <v>91</v>
      </c>
    </row>
    <row r="2" spans="1:11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83</v>
      </c>
      <c r="H2" s="6">
        <v>0.72760000000000002</v>
      </c>
      <c r="I2">
        <f>_xlfn.XLOOKUP(G2,$C$2:$C$35,$A$2:$A$35)</f>
        <v>0.95</v>
      </c>
      <c r="J2">
        <f>((H2-I2))</f>
        <v>-0.22239999999999993</v>
      </c>
      <c r="K2">
        <f>IF(J2&gt;0,J2,-J2)</f>
        <v>0.22239999999999993</v>
      </c>
    </row>
    <row r="3" spans="1:11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11</v>
      </c>
      <c r="H3" s="6">
        <v>0.62380000000000002</v>
      </c>
      <c r="I3">
        <f t="shared" ref="I3:I66" si="0">_xlfn.XLOOKUP(G3,$C$2:$C$35,$A$2:$A$35)</f>
        <v>0.65</v>
      </c>
      <c r="J3">
        <f t="shared" ref="J3:J66" si="1">((H3-I3))</f>
        <v>-2.6200000000000001E-2</v>
      </c>
      <c r="K3">
        <f t="shared" ref="K3:K66" si="2">IF(J3&gt;0,J3,-J3)</f>
        <v>2.6200000000000001E-2</v>
      </c>
    </row>
    <row r="4" spans="1:11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41</v>
      </c>
      <c r="H4" s="6">
        <v>0.79549999999999998</v>
      </c>
      <c r="I4">
        <f t="shared" si="0"/>
        <v>0.75</v>
      </c>
      <c r="J4">
        <f t="shared" si="1"/>
        <v>4.5499999999999985E-2</v>
      </c>
      <c r="K4">
        <f t="shared" si="2"/>
        <v>4.5499999999999985E-2</v>
      </c>
    </row>
    <row r="5" spans="1:11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0.65549999999999997</v>
      </c>
      <c r="I5">
        <f t="shared" si="0"/>
        <v>0.85</v>
      </c>
      <c r="J5">
        <f t="shared" si="1"/>
        <v>-0.19450000000000001</v>
      </c>
      <c r="K5">
        <f t="shared" si="2"/>
        <v>0.19450000000000001</v>
      </c>
    </row>
    <row r="6" spans="1:11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74</v>
      </c>
      <c r="H6" s="6">
        <v>0.71440000000000003</v>
      </c>
      <c r="I6">
        <f t="shared" si="0"/>
        <v>0.95</v>
      </c>
      <c r="J6">
        <f t="shared" si="1"/>
        <v>-0.23559999999999992</v>
      </c>
      <c r="K6">
        <f t="shared" si="2"/>
        <v>0.23559999999999992</v>
      </c>
    </row>
    <row r="7" spans="1:11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32</v>
      </c>
      <c r="H7" s="6">
        <v>0.62429999999999997</v>
      </c>
      <c r="I7">
        <f t="shared" si="0"/>
        <v>0.75</v>
      </c>
      <c r="J7">
        <f t="shared" si="1"/>
        <v>-0.12570000000000003</v>
      </c>
      <c r="K7">
        <f t="shared" si="2"/>
        <v>0.12570000000000003</v>
      </c>
    </row>
    <row r="8" spans="1:11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53</v>
      </c>
      <c r="H8" s="6">
        <v>0.65159999999999996</v>
      </c>
      <c r="I8">
        <f t="shared" si="0"/>
        <v>0.85</v>
      </c>
      <c r="J8">
        <f t="shared" si="1"/>
        <v>-0.19840000000000002</v>
      </c>
      <c r="K8">
        <f t="shared" si="2"/>
        <v>0.19840000000000002</v>
      </c>
    </row>
    <row r="9" spans="1:11" x14ac:dyDescent="0.2">
      <c r="G9" s="5" t="s">
        <v>74</v>
      </c>
      <c r="H9" s="6">
        <v>0.7792</v>
      </c>
      <c r="I9">
        <f t="shared" si="0"/>
        <v>0.95</v>
      </c>
      <c r="J9">
        <f t="shared" si="1"/>
        <v>-0.17079999999999995</v>
      </c>
      <c r="K9">
        <f t="shared" si="2"/>
        <v>0.17079999999999995</v>
      </c>
    </row>
    <row r="10" spans="1:11" x14ac:dyDescent="0.2">
      <c r="G10" s="5" t="s">
        <v>83</v>
      </c>
      <c r="H10" s="6">
        <v>0.77159999999999995</v>
      </c>
      <c r="I10">
        <f t="shared" si="0"/>
        <v>0.95</v>
      </c>
      <c r="J10">
        <f t="shared" si="1"/>
        <v>-0.1784</v>
      </c>
      <c r="K10">
        <f t="shared" si="2"/>
        <v>0.1784</v>
      </c>
    </row>
    <row r="11" spans="1:11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32</v>
      </c>
      <c r="H11" s="6">
        <v>0.65059999999999996</v>
      </c>
      <c r="I11">
        <f t="shared" si="0"/>
        <v>0.75</v>
      </c>
      <c r="J11">
        <f t="shared" si="1"/>
        <v>-9.9400000000000044E-2</v>
      </c>
      <c r="K11">
        <f t="shared" si="2"/>
        <v>9.9400000000000044E-2</v>
      </c>
    </row>
    <row r="12" spans="1:11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11</v>
      </c>
      <c r="H12" s="6">
        <v>0.60070000000000001</v>
      </c>
      <c r="I12">
        <f t="shared" si="0"/>
        <v>0.65</v>
      </c>
      <c r="J12">
        <f t="shared" si="1"/>
        <v>-4.930000000000001E-2</v>
      </c>
      <c r="K12">
        <f t="shared" si="2"/>
        <v>4.930000000000001E-2</v>
      </c>
    </row>
    <row r="13" spans="1:11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74</v>
      </c>
      <c r="H13" s="6">
        <v>0.74909999999999999</v>
      </c>
      <c r="I13">
        <f t="shared" si="0"/>
        <v>0.95</v>
      </c>
      <c r="J13">
        <f t="shared" si="1"/>
        <v>-0.20089999999999997</v>
      </c>
      <c r="K13">
        <f t="shared" si="2"/>
        <v>0.20089999999999997</v>
      </c>
    </row>
    <row r="14" spans="1:11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0.75460000000000005</v>
      </c>
      <c r="I14">
        <f t="shared" si="0"/>
        <v>0.85</v>
      </c>
      <c r="J14">
        <f t="shared" si="1"/>
        <v>-9.5399999999999929E-2</v>
      </c>
      <c r="K14">
        <f t="shared" si="2"/>
        <v>9.5399999999999929E-2</v>
      </c>
    </row>
    <row r="15" spans="1:11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74</v>
      </c>
      <c r="H15" s="6">
        <v>0.76800000000000002</v>
      </c>
      <c r="I15">
        <f t="shared" si="0"/>
        <v>0.95</v>
      </c>
      <c r="J15">
        <f t="shared" si="1"/>
        <v>-0.18199999999999994</v>
      </c>
      <c r="K15">
        <f t="shared" si="2"/>
        <v>0.18199999999999994</v>
      </c>
    </row>
    <row r="16" spans="1:11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53</v>
      </c>
      <c r="H16" s="6">
        <v>0.70289999999999997</v>
      </c>
      <c r="I16">
        <f t="shared" si="0"/>
        <v>0.85</v>
      </c>
      <c r="J16">
        <f t="shared" si="1"/>
        <v>-0.14710000000000001</v>
      </c>
      <c r="K16">
        <f t="shared" si="2"/>
        <v>0.14710000000000001</v>
      </c>
    </row>
    <row r="17" spans="1:11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41</v>
      </c>
      <c r="H17" s="6">
        <v>0.70730000000000004</v>
      </c>
      <c r="I17">
        <f t="shared" si="0"/>
        <v>0.75</v>
      </c>
      <c r="J17">
        <f t="shared" si="1"/>
        <v>-4.269999999999996E-2</v>
      </c>
      <c r="K17">
        <f t="shared" si="2"/>
        <v>4.269999999999996E-2</v>
      </c>
    </row>
    <row r="18" spans="1:11" x14ac:dyDescent="0.2">
      <c r="G18" s="5" t="s">
        <v>11</v>
      </c>
      <c r="H18" s="6">
        <v>0.60650000000000004</v>
      </c>
      <c r="I18">
        <f t="shared" si="0"/>
        <v>0.65</v>
      </c>
      <c r="J18">
        <f t="shared" si="1"/>
        <v>-4.3499999999999983E-2</v>
      </c>
      <c r="K18">
        <f t="shared" si="2"/>
        <v>4.3499999999999983E-2</v>
      </c>
    </row>
    <row r="19" spans="1:11" x14ac:dyDescent="0.2">
      <c r="G19" s="5" t="s">
        <v>83</v>
      </c>
      <c r="H19" s="6">
        <v>0.77200000000000002</v>
      </c>
      <c r="I19">
        <f t="shared" si="0"/>
        <v>0.95</v>
      </c>
      <c r="J19">
        <f t="shared" si="1"/>
        <v>-0.17799999999999994</v>
      </c>
      <c r="K19">
        <f t="shared" si="2"/>
        <v>0.17799999999999994</v>
      </c>
    </row>
    <row r="20" spans="1:11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0.70509999999999995</v>
      </c>
      <c r="I20">
        <f t="shared" si="0"/>
        <v>0.75</v>
      </c>
      <c r="J20">
        <f t="shared" si="1"/>
        <v>-4.4900000000000051E-2</v>
      </c>
      <c r="K20">
        <f t="shared" si="2"/>
        <v>4.4900000000000051E-2</v>
      </c>
    </row>
    <row r="21" spans="1:11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41</v>
      </c>
      <c r="H21" s="6">
        <v>0.66149999999999998</v>
      </c>
      <c r="I21">
        <f t="shared" si="0"/>
        <v>0.75</v>
      </c>
      <c r="J21">
        <f t="shared" si="1"/>
        <v>-8.8500000000000023E-2</v>
      </c>
      <c r="K21">
        <f t="shared" si="2"/>
        <v>8.8500000000000023E-2</v>
      </c>
    </row>
    <row r="22" spans="1:11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11</v>
      </c>
      <c r="H22" s="6">
        <v>0.62270000000000003</v>
      </c>
      <c r="I22">
        <f t="shared" si="0"/>
        <v>0.65</v>
      </c>
      <c r="J22">
        <f t="shared" si="1"/>
        <v>-2.7299999999999991E-2</v>
      </c>
      <c r="K22">
        <f t="shared" si="2"/>
        <v>2.7299999999999991E-2</v>
      </c>
    </row>
    <row r="23" spans="1:11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53</v>
      </c>
      <c r="H23" s="6">
        <v>0.69059999999999999</v>
      </c>
      <c r="I23">
        <f t="shared" si="0"/>
        <v>0.85</v>
      </c>
      <c r="J23">
        <f t="shared" si="1"/>
        <v>-0.15939999999999999</v>
      </c>
      <c r="K23">
        <f t="shared" si="2"/>
        <v>0.15939999999999999</v>
      </c>
    </row>
    <row r="24" spans="1:11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32</v>
      </c>
      <c r="H24" s="6">
        <v>0.60560000000000003</v>
      </c>
      <c r="I24">
        <f t="shared" si="0"/>
        <v>0.75</v>
      </c>
      <c r="J24">
        <f t="shared" si="1"/>
        <v>-0.14439999999999997</v>
      </c>
      <c r="K24">
        <f t="shared" si="2"/>
        <v>0.14439999999999997</v>
      </c>
    </row>
    <row r="25" spans="1:11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11</v>
      </c>
      <c r="H25" s="6">
        <v>0.63060000000000005</v>
      </c>
      <c r="I25">
        <f t="shared" si="0"/>
        <v>0.65</v>
      </c>
      <c r="J25">
        <f t="shared" si="1"/>
        <v>-1.9399999999999973E-2</v>
      </c>
      <c r="K25">
        <f t="shared" si="2"/>
        <v>1.9399999999999973E-2</v>
      </c>
    </row>
    <row r="26" spans="1:11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32</v>
      </c>
      <c r="H26" s="6">
        <v>0.65820000000000001</v>
      </c>
      <c r="I26">
        <f t="shared" si="0"/>
        <v>0.75</v>
      </c>
      <c r="J26">
        <f t="shared" si="1"/>
        <v>-9.1799999999999993E-2</v>
      </c>
      <c r="K26">
        <f t="shared" si="2"/>
        <v>9.1799999999999993E-2</v>
      </c>
    </row>
    <row r="27" spans="1:11" x14ac:dyDescent="0.2">
      <c r="G27" s="5" t="s">
        <v>53</v>
      </c>
      <c r="H27" s="6">
        <v>0.74050000000000005</v>
      </c>
      <c r="I27">
        <f t="shared" si="0"/>
        <v>0.85</v>
      </c>
      <c r="J27">
        <f t="shared" si="1"/>
        <v>-0.10949999999999993</v>
      </c>
      <c r="K27">
        <f t="shared" si="2"/>
        <v>0.10949999999999993</v>
      </c>
    </row>
    <row r="28" spans="1:11" x14ac:dyDescent="0.2">
      <c r="G28" s="5" t="s">
        <v>83</v>
      </c>
      <c r="H28" s="6">
        <v>0.77370000000000005</v>
      </c>
      <c r="I28">
        <f t="shared" si="0"/>
        <v>0.95</v>
      </c>
      <c r="J28">
        <f t="shared" si="1"/>
        <v>-0.1762999999999999</v>
      </c>
      <c r="K28">
        <f t="shared" si="2"/>
        <v>0.1762999999999999</v>
      </c>
    </row>
    <row r="29" spans="1:11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41</v>
      </c>
      <c r="H29" s="6">
        <v>0.75719999999999998</v>
      </c>
      <c r="I29">
        <f t="shared" si="0"/>
        <v>0.75</v>
      </c>
      <c r="J29">
        <f t="shared" si="1"/>
        <v>7.1999999999999842E-3</v>
      </c>
      <c r="K29">
        <f t="shared" si="2"/>
        <v>7.1999999999999842E-3</v>
      </c>
    </row>
    <row r="30" spans="1:11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11</v>
      </c>
      <c r="H30" s="6">
        <v>0.61780000000000002</v>
      </c>
      <c r="I30">
        <f t="shared" si="0"/>
        <v>0.65</v>
      </c>
      <c r="J30">
        <f t="shared" si="1"/>
        <v>-3.2200000000000006E-2</v>
      </c>
      <c r="K30">
        <f t="shared" si="2"/>
        <v>3.2200000000000006E-2</v>
      </c>
    </row>
    <row r="31" spans="1:11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11</v>
      </c>
      <c r="H31" s="6">
        <v>0.60129999999999995</v>
      </c>
      <c r="I31">
        <f t="shared" si="0"/>
        <v>0.65</v>
      </c>
      <c r="J31">
        <f t="shared" si="1"/>
        <v>-4.8700000000000077E-2</v>
      </c>
      <c r="K31">
        <f t="shared" si="2"/>
        <v>4.8700000000000077E-2</v>
      </c>
    </row>
    <row r="32" spans="1:11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62</v>
      </c>
      <c r="H32" s="6">
        <v>0.71679999999999999</v>
      </c>
      <c r="I32">
        <f t="shared" si="0"/>
        <v>0.85</v>
      </c>
      <c r="J32">
        <f t="shared" si="1"/>
        <v>-0.13319999999999999</v>
      </c>
      <c r="K32">
        <f t="shared" si="2"/>
        <v>0.13319999999999999</v>
      </c>
    </row>
    <row r="33" spans="1:11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20</v>
      </c>
      <c r="H33" s="6">
        <v>0.68020000000000003</v>
      </c>
      <c r="I33">
        <f t="shared" si="0"/>
        <v>0.65</v>
      </c>
      <c r="J33">
        <f t="shared" si="1"/>
        <v>3.0200000000000005E-2</v>
      </c>
      <c r="K33">
        <f t="shared" si="2"/>
        <v>3.0200000000000005E-2</v>
      </c>
    </row>
    <row r="34" spans="1:11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11</v>
      </c>
      <c r="H34" s="6">
        <v>0.62429999999999997</v>
      </c>
      <c r="I34">
        <f t="shared" si="0"/>
        <v>0.65</v>
      </c>
      <c r="J34">
        <f t="shared" si="1"/>
        <v>-2.5700000000000056E-2</v>
      </c>
      <c r="K34">
        <f t="shared" si="2"/>
        <v>2.5700000000000056E-2</v>
      </c>
    </row>
    <row r="35" spans="1:11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62</v>
      </c>
      <c r="H35" s="6">
        <v>0.88670000000000004</v>
      </c>
      <c r="I35">
        <f t="shared" si="0"/>
        <v>0.85</v>
      </c>
      <c r="J35">
        <f t="shared" si="1"/>
        <v>3.6700000000000066E-2</v>
      </c>
      <c r="K35">
        <f t="shared" si="2"/>
        <v>3.6700000000000066E-2</v>
      </c>
    </row>
    <row r="36" spans="1:11" x14ac:dyDescent="0.2">
      <c r="G36" s="5" t="s">
        <v>62</v>
      </c>
      <c r="H36" s="6">
        <v>0.7782</v>
      </c>
      <c r="I36">
        <f t="shared" si="0"/>
        <v>0.85</v>
      </c>
      <c r="J36">
        <f t="shared" si="1"/>
        <v>-7.1799999999999975E-2</v>
      </c>
      <c r="K36">
        <f t="shared" si="2"/>
        <v>7.1799999999999975E-2</v>
      </c>
    </row>
    <row r="37" spans="1:11" x14ac:dyDescent="0.2">
      <c r="G37" s="5" t="s">
        <v>74</v>
      </c>
      <c r="H37" s="6">
        <v>0.74470000000000003</v>
      </c>
      <c r="I37">
        <f t="shared" si="0"/>
        <v>0.95</v>
      </c>
      <c r="J37">
        <f t="shared" si="1"/>
        <v>-0.20529999999999993</v>
      </c>
      <c r="K37">
        <f t="shared" si="2"/>
        <v>0.20529999999999993</v>
      </c>
    </row>
    <row r="38" spans="1:11" x14ac:dyDescent="0.2">
      <c r="G38" s="5" t="s">
        <v>20</v>
      </c>
      <c r="H38" s="6">
        <v>0.66320000000000001</v>
      </c>
      <c r="I38">
        <f t="shared" si="0"/>
        <v>0.65</v>
      </c>
      <c r="J38">
        <f t="shared" si="1"/>
        <v>1.319999999999999E-2</v>
      </c>
      <c r="K38">
        <f t="shared" si="2"/>
        <v>1.319999999999999E-2</v>
      </c>
    </row>
    <row r="39" spans="1:11" x14ac:dyDescent="0.2">
      <c r="G39" s="5" t="s">
        <v>41</v>
      </c>
      <c r="H39" s="6">
        <v>0.65349999999999997</v>
      </c>
      <c r="I39">
        <f t="shared" si="0"/>
        <v>0.75</v>
      </c>
      <c r="J39">
        <f t="shared" si="1"/>
        <v>-9.650000000000003E-2</v>
      </c>
      <c r="K39">
        <f t="shared" si="2"/>
        <v>9.650000000000003E-2</v>
      </c>
    </row>
    <row r="40" spans="1:11" x14ac:dyDescent="0.2">
      <c r="G40" s="5" t="s">
        <v>74</v>
      </c>
      <c r="H40" s="6">
        <v>0.75719999999999998</v>
      </c>
      <c r="I40">
        <f t="shared" si="0"/>
        <v>0.95</v>
      </c>
      <c r="J40">
        <f t="shared" si="1"/>
        <v>-0.19279999999999997</v>
      </c>
      <c r="K40">
        <f t="shared" si="2"/>
        <v>0.19279999999999997</v>
      </c>
    </row>
    <row r="41" spans="1:11" x14ac:dyDescent="0.2">
      <c r="G41" s="5" t="s">
        <v>74</v>
      </c>
      <c r="H41" s="6">
        <v>0.77329999999999999</v>
      </c>
      <c r="I41">
        <f t="shared" si="0"/>
        <v>0.95</v>
      </c>
      <c r="J41">
        <f t="shared" si="1"/>
        <v>-0.17669999999999997</v>
      </c>
      <c r="K41">
        <f t="shared" si="2"/>
        <v>0.17669999999999997</v>
      </c>
    </row>
    <row r="42" spans="1:11" x14ac:dyDescent="0.2">
      <c r="G42" s="5" t="s">
        <v>62</v>
      </c>
      <c r="H42" s="6">
        <v>0.68079999999999996</v>
      </c>
      <c r="I42">
        <f t="shared" si="0"/>
        <v>0.85</v>
      </c>
      <c r="J42">
        <f t="shared" si="1"/>
        <v>-0.16920000000000002</v>
      </c>
      <c r="K42">
        <f t="shared" si="2"/>
        <v>0.16920000000000002</v>
      </c>
    </row>
    <row r="43" spans="1:11" x14ac:dyDescent="0.2">
      <c r="G43" s="5" t="s">
        <v>41</v>
      </c>
      <c r="H43" s="6">
        <v>0.70350000000000001</v>
      </c>
      <c r="I43">
        <f t="shared" si="0"/>
        <v>0.75</v>
      </c>
      <c r="J43">
        <f t="shared" si="1"/>
        <v>-4.6499999999999986E-2</v>
      </c>
      <c r="K43">
        <f t="shared" si="2"/>
        <v>4.6499999999999986E-2</v>
      </c>
    </row>
    <row r="44" spans="1:11" x14ac:dyDescent="0.2">
      <c r="G44" s="5" t="s">
        <v>20</v>
      </c>
      <c r="H44" s="6">
        <v>0.64859999999999995</v>
      </c>
      <c r="I44">
        <f t="shared" si="0"/>
        <v>0.65</v>
      </c>
      <c r="J44">
        <f t="shared" si="1"/>
        <v>-1.4000000000000679E-3</v>
      </c>
      <c r="K44">
        <f t="shared" si="2"/>
        <v>1.4000000000000679E-3</v>
      </c>
    </row>
    <row r="45" spans="1:11" x14ac:dyDescent="0.2">
      <c r="G45" s="5" t="s">
        <v>53</v>
      </c>
      <c r="H45" s="6">
        <v>0.68859999999999999</v>
      </c>
      <c r="I45">
        <f t="shared" si="0"/>
        <v>0.85</v>
      </c>
      <c r="J45">
        <f t="shared" si="1"/>
        <v>-0.16139999999999999</v>
      </c>
      <c r="K45">
        <f t="shared" si="2"/>
        <v>0.16139999999999999</v>
      </c>
    </row>
    <row r="46" spans="1:11" x14ac:dyDescent="0.2">
      <c r="G46" s="5" t="s">
        <v>62</v>
      </c>
      <c r="H46" s="6">
        <v>0.67930000000000001</v>
      </c>
      <c r="I46">
        <f t="shared" si="0"/>
        <v>0.85</v>
      </c>
      <c r="J46">
        <f t="shared" si="1"/>
        <v>-0.17069999999999996</v>
      </c>
      <c r="K46">
        <f t="shared" si="2"/>
        <v>0.17069999999999996</v>
      </c>
    </row>
    <row r="47" spans="1:11" x14ac:dyDescent="0.2">
      <c r="G47" s="5" t="s">
        <v>74</v>
      </c>
      <c r="H47" s="6">
        <v>0.75419999999999998</v>
      </c>
      <c r="I47">
        <f t="shared" si="0"/>
        <v>0.95</v>
      </c>
      <c r="J47">
        <f t="shared" si="1"/>
        <v>-0.19579999999999997</v>
      </c>
      <c r="K47">
        <f t="shared" si="2"/>
        <v>0.19579999999999997</v>
      </c>
    </row>
    <row r="48" spans="1:11" x14ac:dyDescent="0.2">
      <c r="G48" s="5" t="s">
        <v>83</v>
      </c>
      <c r="H48" s="6">
        <v>0.78769999999999996</v>
      </c>
      <c r="I48">
        <f t="shared" si="0"/>
        <v>0.95</v>
      </c>
      <c r="J48">
        <f t="shared" si="1"/>
        <v>-0.1623</v>
      </c>
      <c r="K48">
        <f t="shared" si="2"/>
        <v>0.1623</v>
      </c>
    </row>
    <row r="49" spans="7:13" x14ac:dyDescent="0.2">
      <c r="G49" s="5" t="s">
        <v>11</v>
      </c>
      <c r="H49" s="6">
        <v>0.61350000000000005</v>
      </c>
      <c r="I49">
        <f t="shared" si="0"/>
        <v>0.65</v>
      </c>
      <c r="J49">
        <f t="shared" si="1"/>
        <v>-3.6499999999999977E-2</v>
      </c>
      <c r="K49">
        <f t="shared" si="2"/>
        <v>3.6499999999999977E-2</v>
      </c>
    </row>
    <row r="50" spans="7:13" x14ac:dyDescent="0.2">
      <c r="G50" s="5" t="s">
        <v>74</v>
      </c>
      <c r="H50" s="6">
        <v>0.76819999999999999</v>
      </c>
      <c r="I50">
        <f t="shared" si="0"/>
        <v>0.95</v>
      </c>
      <c r="J50">
        <f t="shared" si="1"/>
        <v>-0.18179999999999996</v>
      </c>
      <c r="K50">
        <f t="shared" si="2"/>
        <v>0.18179999999999996</v>
      </c>
    </row>
    <row r="51" spans="7:13" x14ac:dyDescent="0.2">
      <c r="G51" s="5" t="s">
        <v>62</v>
      </c>
      <c r="H51" s="6">
        <v>0.69059999999999999</v>
      </c>
      <c r="I51">
        <f t="shared" si="0"/>
        <v>0.85</v>
      </c>
      <c r="J51">
        <f t="shared" si="1"/>
        <v>-0.15939999999999999</v>
      </c>
      <c r="K51">
        <f t="shared" si="2"/>
        <v>0.15939999999999999</v>
      </c>
    </row>
    <row r="52" spans="7:13" x14ac:dyDescent="0.2">
      <c r="G52" s="5" t="s">
        <v>11</v>
      </c>
      <c r="H52" s="6">
        <v>0.65</v>
      </c>
      <c r="I52">
        <f t="shared" si="0"/>
        <v>0.65</v>
      </c>
      <c r="J52">
        <f t="shared" si="1"/>
        <v>0</v>
      </c>
      <c r="K52">
        <f t="shared" si="2"/>
        <v>0</v>
      </c>
    </row>
    <row r="53" spans="7:13" x14ac:dyDescent="0.2">
      <c r="G53" s="5" t="s">
        <v>11</v>
      </c>
      <c r="H53" s="6">
        <v>0.65</v>
      </c>
      <c r="I53">
        <f t="shared" si="0"/>
        <v>0.65</v>
      </c>
      <c r="J53">
        <f t="shared" si="1"/>
        <v>0</v>
      </c>
      <c r="K53">
        <f t="shared" si="2"/>
        <v>0</v>
      </c>
      <c r="M53">
        <f>AVERAGE(K2:K51)/0.3</f>
        <v>0.37683333333333341</v>
      </c>
    </row>
    <row r="54" spans="7:13" x14ac:dyDescent="0.2">
      <c r="G54" s="5" t="s">
        <v>74</v>
      </c>
      <c r="H54" s="6">
        <v>0.95</v>
      </c>
      <c r="I54">
        <f t="shared" si="0"/>
        <v>0.95</v>
      </c>
      <c r="J54">
        <f t="shared" si="1"/>
        <v>0</v>
      </c>
      <c r="K54">
        <f t="shared" si="2"/>
        <v>0</v>
      </c>
    </row>
    <row r="55" spans="7:13" x14ac:dyDescent="0.2">
      <c r="G55" s="5" t="s">
        <v>11</v>
      </c>
      <c r="H55" s="6">
        <v>0.65</v>
      </c>
      <c r="I55">
        <f t="shared" si="0"/>
        <v>0.65</v>
      </c>
      <c r="J55">
        <f t="shared" si="1"/>
        <v>0</v>
      </c>
      <c r="K55">
        <f t="shared" si="2"/>
        <v>0</v>
      </c>
    </row>
    <row r="56" spans="7:13" x14ac:dyDescent="0.2">
      <c r="G56" s="5" t="s">
        <v>53</v>
      </c>
      <c r="H56" s="6">
        <v>0.85</v>
      </c>
      <c r="I56">
        <f t="shared" si="0"/>
        <v>0.85</v>
      </c>
      <c r="J56">
        <f t="shared" si="1"/>
        <v>0</v>
      </c>
      <c r="K56">
        <f t="shared" si="2"/>
        <v>0</v>
      </c>
    </row>
    <row r="57" spans="7:13" x14ac:dyDescent="0.2">
      <c r="G57" s="5" t="s">
        <v>62</v>
      </c>
      <c r="H57" s="6">
        <v>0.75</v>
      </c>
      <c r="I57">
        <f t="shared" si="0"/>
        <v>0.85</v>
      </c>
      <c r="J57">
        <f t="shared" si="1"/>
        <v>-9.9999999999999978E-2</v>
      </c>
      <c r="K57">
        <f t="shared" si="2"/>
        <v>9.9999999999999978E-2</v>
      </c>
    </row>
    <row r="58" spans="7:13" x14ac:dyDescent="0.2">
      <c r="G58" s="5" t="s">
        <v>20</v>
      </c>
      <c r="H58" s="6">
        <v>0.65</v>
      </c>
      <c r="I58">
        <f t="shared" si="0"/>
        <v>0.65</v>
      </c>
      <c r="J58">
        <f t="shared" si="1"/>
        <v>0</v>
      </c>
      <c r="K58">
        <f t="shared" si="2"/>
        <v>0</v>
      </c>
    </row>
    <row r="59" spans="7:13" x14ac:dyDescent="0.2">
      <c r="G59" s="5" t="s">
        <v>74</v>
      </c>
      <c r="H59" s="6">
        <v>0.95</v>
      </c>
      <c r="I59">
        <f t="shared" si="0"/>
        <v>0.95</v>
      </c>
      <c r="J59">
        <f t="shared" si="1"/>
        <v>0</v>
      </c>
      <c r="K59">
        <f t="shared" si="2"/>
        <v>0</v>
      </c>
    </row>
    <row r="60" spans="7:13" x14ac:dyDescent="0.2">
      <c r="G60" s="5" t="s">
        <v>53</v>
      </c>
      <c r="H60" s="6">
        <v>0.85</v>
      </c>
      <c r="I60">
        <f t="shared" si="0"/>
        <v>0.85</v>
      </c>
      <c r="J60">
        <f t="shared" si="1"/>
        <v>0</v>
      </c>
      <c r="K60">
        <f t="shared" si="2"/>
        <v>0</v>
      </c>
    </row>
    <row r="61" spans="7:13" x14ac:dyDescent="0.2">
      <c r="G61" s="5" t="s">
        <v>62</v>
      </c>
      <c r="H61" s="6">
        <v>0.85</v>
      </c>
      <c r="I61">
        <f t="shared" si="0"/>
        <v>0.85</v>
      </c>
      <c r="J61">
        <f t="shared" si="1"/>
        <v>0</v>
      </c>
      <c r="K61">
        <f t="shared" si="2"/>
        <v>0</v>
      </c>
    </row>
    <row r="62" spans="7:13" x14ac:dyDescent="0.2">
      <c r="G62" s="5" t="s">
        <v>41</v>
      </c>
      <c r="H62" s="6">
        <v>0.75</v>
      </c>
      <c r="I62">
        <f t="shared" si="0"/>
        <v>0.75</v>
      </c>
      <c r="J62">
        <f t="shared" si="1"/>
        <v>0</v>
      </c>
      <c r="K62">
        <f t="shared" si="2"/>
        <v>0</v>
      </c>
    </row>
    <row r="63" spans="7:13" x14ac:dyDescent="0.2">
      <c r="G63" s="5" t="s">
        <v>62</v>
      </c>
      <c r="H63" s="6">
        <v>0.85</v>
      </c>
      <c r="I63">
        <f t="shared" si="0"/>
        <v>0.85</v>
      </c>
      <c r="J63">
        <f t="shared" si="1"/>
        <v>0</v>
      </c>
      <c r="K63">
        <f t="shared" si="2"/>
        <v>0</v>
      </c>
    </row>
    <row r="64" spans="7:13" x14ac:dyDescent="0.2">
      <c r="G64" s="5" t="s">
        <v>74</v>
      </c>
      <c r="H64" s="6">
        <v>0.95</v>
      </c>
      <c r="I64">
        <f t="shared" si="0"/>
        <v>0.95</v>
      </c>
      <c r="J64">
        <f t="shared" si="1"/>
        <v>0</v>
      </c>
      <c r="K64">
        <f t="shared" si="2"/>
        <v>0</v>
      </c>
    </row>
    <row r="65" spans="7:11" x14ac:dyDescent="0.2">
      <c r="G65" s="5" t="s">
        <v>11</v>
      </c>
      <c r="H65" s="6">
        <v>0.65</v>
      </c>
      <c r="I65">
        <f t="shared" si="0"/>
        <v>0.65</v>
      </c>
      <c r="J65">
        <f t="shared" si="1"/>
        <v>0</v>
      </c>
      <c r="K65">
        <f t="shared" si="2"/>
        <v>0</v>
      </c>
    </row>
    <row r="66" spans="7:11" x14ac:dyDescent="0.2">
      <c r="G66" s="5" t="s">
        <v>74</v>
      </c>
      <c r="H66" s="6">
        <v>0.95</v>
      </c>
      <c r="I66">
        <f t="shared" si="0"/>
        <v>0.95</v>
      </c>
      <c r="J66">
        <f t="shared" si="1"/>
        <v>0</v>
      </c>
      <c r="K66">
        <f t="shared" si="2"/>
        <v>0</v>
      </c>
    </row>
    <row r="67" spans="7:11" x14ac:dyDescent="0.2">
      <c r="G67" s="5" t="s">
        <v>32</v>
      </c>
      <c r="H67" s="6">
        <v>0.75</v>
      </c>
      <c r="I67">
        <f t="shared" ref="I67:I101" si="3">_xlfn.XLOOKUP(G67,$C$2:$C$35,$A$2:$A$35)</f>
        <v>0.75</v>
      </c>
      <c r="J67">
        <f t="shared" ref="J67:J101" si="4">((H67-I67))</f>
        <v>0</v>
      </c>
      <c r="K67">
        <f t="shared" ref="K67:K101" si="5">IF(J67&gt;0,J67,-J67)</f>
        <v>0</v>
      </c>
    </row>
    <row r="68" spans="7:11" x14ac:dyDescent="0.2">
      <c r="G68" s="5" t="s">
        <v>62</v>
      </c>
      <c r="H68" s="6">
        <v>0.85</v>
      </c>
      <c r="I68">
        <f t="shared" si="3"/>
        <v>0.85</v>
      </c>
      <c r="J68">
        <f t="shared" si="4"/>
        <v>0</v>
      </c>
      <c r="K68">
        <f t="shared" si="5"/>
        <v>0</v>
      </c>
    </row>
    <row r="69" spans="7:11" x14ac:dyDescent="0.2">
      <c r="G69" s="5" t="s">
        <v>41</v>
      </c>
      <c r="H69" s="6">
        <v>0.75</v>
      </c>
      <c r="I69">
        <f t="shared" si="3"/>
        <v>0.75</v>
      </c>
      <c r="J69">
        <f t="shared" si="4"/>
        <v>0</v>
      </c>
      <c r="K69">
        <f t="shared" si="5"/>
        <v>0</v>
      </c>
    </row>
    <row r="70" spans="7:11" x14ac:dyDescent="0.2">
      <c r="G70" s="5" t="s">
        <v>62</v>
      </c>
      <c r="H70" s="6">
        <v>0.85</v>
      </c>
      <c r="I70">
        <f t="shared" si="3"/>
        <v>0.85</v>
      </c>
      <c r="J70">
        <f t="shared" si="4"/>
        <v>0</v>
      </c>
      <c r="K70">
        <f t="shared" si="5"/>
        <v>0</v>
      </c>
    </row>
    <row r="71" spans="7:11" x14ac:dyDescent="0.2">
      <c r="G71" s="5" t="s">
        <v>74</v>
      </c>
      <c r="H71" s="6">
        <v>0.95</v>
      </c>
      <c r="I71">
        <f t="shared" si="3"/>
        <v>0.95</v>
      </c>
      <c r="J71">
        <f t="shared" si="4"/>
        <v>0</v>
      </c>
      <c r="K71">
        <f t="shared" si="5"/>
        <v>0</v>
      </c>
    </row>
    <row r="72" spans="7:11" x14ac:dyDescent="0.2">
      <c r="G72" s="5" t="s">
        <v>74</v>
      </c>
      <c r="H72" s="6">
        <v>0.95</v>
      </c>
      <c r="I72">
        <f t="shared" si="3"/>
        <v>0.95</v>
      </c>
      <c r="J72">
        <f t="shared" si="4"/>
        <v>0</v>
      </c>
      <c r="K72">
        <f t="shared" si="5"/>
        <v>0</v>
      </c>
    </row>
    <row r="73" spans="7:11" x14ac:dyDescent="0.2">
      <c r="G73" s="5" t="s">
        <v>53</v>
      </c>
      <c r="H73" s="6">
        <v>0.85</v>
      </c>
      <c r="I73">
        <f t="shared" si="3"/>
        <v>0.85</v>
      </c>
      <c r="J73">
        <f t="shared" si="4"/>
        <v>0</v>
      </c>
      <c r="K73">
        <f t="shared" si="5"/>
        <v>0</v>
      </c>
    </row>
    <row r="74" spans="7:11" x14ac:dyDescent="0.2">
      <c r="G74" s="5" t="s">
        <v>53</v>
      </c>
      <c r="H74" s="6">
        <v>0.85</v>
      </c>
      <c r="I74">
        <f t="shared" si="3"/>
        <v>0.85</v>
      </c>
      <c r="J74">
        <f t="shared" si="4"/>
        <v>0</v>
      </c>
      <c r="K74">
        <f t="shared" si="5"/>
        <v>0</v>
      </c>
    </row>
    <row r="75" spans="7:11" x14ac:dyDescent="0.2">
      <c r="G75" s="5" t="s">
        <v>62</v>
      </c>
      <c r="H75" s="6">
        <v>0.85</v>
      </c>
      <c r="I75">
        <f t="shared" si="3"/>
        <v>0.85</v>
      </c>
      <c r="J75">
        <f t="shared" si="4"/>
        <v>0</v>
      </c>
      <c r="K75">
        <f t="shared" si="5"/>
        <v>0</v>
      </c>
    </row>
    <row r="76" spans="7:11" x14ac:dyDescent="0.2">
      <c r="G76" s="5" t="s">
        <v>11</v>
      </c>
      <c r="H76" s="6">
        <v>0.65</v>
      </c>
      <c r="I76">
        <f t="shared" si="3"/>
        <v>0.65</v>
      </c>
      <c r="J76">
        <f t="shared" si="4"/>
        <v>0</v>
      </c>
      <c r="K76">
        <f t="shared" si="5"/>
        <v>0</v>
      </c>
    </row>
    <row r="77" spans="7:11" x14ac:dyDescent="0.2">
      <c r="G77" s="5" t="s">
        <v>41</v>
      </c>
      <c r="H77" s="6">
        <v>0.75</v>
      </c>
      <c r="I77">
        <f t="shared" si="3"/>
        <v>0.75</v>
      </c>
      <c r="J77">
        <f t="shared" si="4"/>
        <v>0</v>
      </c>
      <c r="K77">
        <f t="shared" si="5"/>
        <v>0</v>
      </c>
    </row>
    <row r="78" spans="7:11" x14ac:dyDescent="0.2">
      <c r="G78" s="5" t="s">
        <v>41</v>
      </c>
      <c r="H78" s="6">
        <v>0.85</v>
      </c>
      <c r="I78">
        <f t="shared" si="3"/>
        <v>0.75</v>
      </c>
      <c r="J78">
        <f t="shared" si="4"/>
        <v>9.9999999999999978E-2</v>
      </c>
      <c r="K78">
        <f t="shared" si="5"/>
        <v>9.9999999999999978E-2</v>
      </c>
    </row>
    <row r="79" spans="7:11" x14ac:dyDescent="0.2">
      <c r="G79" s="5" t="s">
        <v>20</v>
      </c>
      <c r="H79" s="6">
        <v>0.65</v>
      </c>
      <c r="I79">
        <f t="shared" si="3"/>
        <v>0.65</v>
      </c>
      <c r="J79">
        <f t="shared" si="4"/>
        <v>0</v>
      </c>
      <c r="K79">
        <f t="shared" si="5"/>
        <v>0</v>
      </c>
    </row>
    <row r="80" spans="7:11" x14ac:dyDescent="0.2">
      <c r="G80" s="5" t="s">
        <v>32</v>
      </c>
      <c r="H80" s="6">
        <v>0.75</v>
      </c>
      <c r="I80">
        <f t="shared" si="3"/>
        <v>0.75</v>
      </c>
      <c r="J80">
        <f t="shared" si="4"/>
        <v>0</v>
      </c>
      <c r="K80">
        <f t="shared" si="5"/>
        <v>0</v>
      </c>
    </row>
    <row r="81" spans="7:11" x14ac:dyDescent="0.2">
      <c r="G81" s="5" t="s">
        <v>11</v>
      </c>
      <c r="H81" s="6">
        <v>0.65</v>
      </c>
      <c r="I81">
        <f t="shared" si="3"/>
        <v>0.65</v>
      </c>
      <c r="J81">
        <f t="shared" si="4"/>
        <v>0</v>
      </c>
      <c r="K81">
        <f t="shared" si="5"/>
        <v>0</v>
      </c>
    </row>
    <row r="82" spans="7:11" x14ac:dyDescent="0.2">
      <c r="G82" s="5" t="s">
        <v>41</v>
      </c>
      <c r="H82" s="6">
        <v>0.75</v>
      </c>
      <c r="I82">
        <f t="shared" si="3"/>
        <v>0.75</v>
      </c>
      <c r="J82">
        <f t="shared" si="4"/>
        <v>0</v>
      </c>
      <c r="K82">
        <f t="shared" si="5"/>
        <v>0</v>
      </c>
    </row>
    <row r="83" spans="7:11" x14ac:dyDescent="0.2">
      <c r="G83" s="5" t="s">
        <v>32</v>
      </c>
      <c r="H83" s="6">
        <v>0.75</v>
      </c>
      <c r="I83">
        <f t="shared" si="3"/>
        <v>0.75</v>
      </c>
      <c r="J83">
        <f t="shared" si="4"/>
        <v>0</v>
      </c>
      <c r="K83">
        <f t="shared" si="5"/>
        <v>0</v>
      </c>
    </row>
    <row r="84" spans="7:11" x14ac:dyDescent="0.2">
      <c r="G84" s="5" t="s">
        <v>74</v>
      </c>
      <c r="H84" s="6">
        <v>0.95</v>
      </c>
      <c r="I84">
        <f t="shared" si="3"/>
        <v>0.95</v>
      </c>
      <c r="J84">
        <f t="shared" si="4"/>
        <v>0</v>
      </c>
      <c r="K84">
        <f t="shared" si="5"/>
        <v>0</v>
      </c>
    </row>
    <row r="85" spans="7:11" x14ac:dyDescent="0.2">
      <c r="G85" s="5" t="s">
        <v>11</v>
      </c>
      <c r="H85" s="6">
        <v>0.65</v>
      </c>
      <c r="I85">
        <f t="shared" si="3"/>
        <v>0.65</v>
      </c>
      <c r="J85">
        <f t="shared" si="4"/>
        <v>0</v>
      </c>
      <c r="K85">
        <f t="shared" si="5"/>
        <v>0</v>
      </c>
    </row>
    <row r="86" spans="7:11" x14ac:dyDescent="0.2">
      <c r="G86" s="5" t="s">
        <v>41</v>
      </c>
      <c r="H86" s="6">
        <v>0.75</v>
      </c>
      <c r="I86">
        <f t="shared" si="3"/>
        <v>0.75</v>
      </c>
      <c r="J86">
        <f t="shared" si="4"/>
        <v>0</v>
      </c>
      <c r="K86">
        <f t="shared" si="5"/>
        <v>0</v>
      </c>
    </row>
    <row r="87" spans="7:11" x14ac:dyDescent="0.2">
      <c r="G87" s="5" t="s">
        <v>41</v>
      </c>
      <c r="H87" s="6">
        <v>0.75</v>
      </c>
      <c r="I87">
        <f t="shared" si="3"/>
        <v>0.75</v>
      </c>
      <c r="J87">
        <f t="shared" si="4"/>
        <v>0</v>
      </c>
      <c r="K87">
        <f t="shared" si="5"/>
        <v>0</v>
      </c>
    </row>
    <row r="88" spans="7:11" x14ac:dyDescent="0.2">
      <c r="G88" s="5" t="s">
        <v>11</v>
      </c>
      <c r="H88" s="6">
        <v>0.65</v>
      </c>
      <c r="I88">
        <f t="shared" si="3"/>
        <v>0.65</v>
      </c>
      <c r="J88">
        <f t="shared" si="4"/>
        <v>0</v>
      </c>
      <c r="K88">
        <f t="shared" si="5"/>
        <v>0</v>
      </c>
    </row>
    <row r="89" spans="7:11" x14ac:dyDescent="0.2">
      <c r="G89" s="5" t="s">
        <v>41</v>
      </c>
      <c r="H89" s="6">
        <v>0.75</v>
      </c>
      <c r="I89">
        <f t="shared" si="3"/>
        <v>0.75</v>
      </c>
      <c r="J89">
        <f t="shared" si="4"/>
        <v>0</v>
      </c>
      <c r="K89">
        <f t="shared" si="5"/>
        <v>0</v>
      </c>
    </row>
    <row r="90" spans="7:11" x14ac:dyDescent="0.2">
      <c r="G90" s="5" t="s">
        <v>83</v>
      </c>
      <c r="H90" s="6">
        <v>0.95</v>
      </c>
      <c r="I90">
        <f t="shared" si="3"/>
        <v>0.95</v>
      </c>
      <c r="J90">
        <f t="shared" si="4"/>
        <v>0</v>
      </c>
      <c r="K90">
        <f t="shared" si="5"/>
        <v>0</v>
      </c>
    </row>
    <row r="91" spans="7:11" x14ac:dyDescent="0.2">
      <c r="G91" s="5" t="s">
        <v>11</v>
      </c>
      <c r="H91" s="6">
        <v>0.65</v>
      </c>
      <c r="I91">
        <f t="shared" si="3"/>
        <v>0.65</v>
      </c>
      <c r="J91">
        <f t="shared" si="4"/>
        <v>0</v>
      </c>
      <c r="K91">
        <f t="shared" si="5"/>
        <v>0</v>
      </c>
    </row>
    <row r="92" spans="7:11" x14ac:dyDescent="0.2">
      <c r="G92" s="5" t="s">
        <v>20</v>
      </c>
      <c r="H92" s="6">
        <v>0.65</v>
      </c>
      <c r="I92">
        <f t="shared" si="3"/>
        <v>0.65</v>
      </c>
      <c r="J92">
        <f t="shared" si="4"/>
        <v>0</v>
      </c>
      <c r="K92">
        <f t="shared" si="5"/>
        <v>0</v>
      </c>
    </row>
    <row r="93" spans="7:11" x14ac:dyDescent="0.2">
      <c r="G93" s="5" t="s">
        <v>53</v>
      </c>
      <c r="H93" s="6">
        <v>0.85</v>
      </c>
      <c r="I93">
        <f t="shared" si="3"/>
        <v>0.85</v>
      </c>
      <c r="J93">
        <f t="shared" si="4"/>
        <v>0</v>
      </c>
      <c r="K93">
        <f t="shared" si="5"/>
        <v>0</v>
      </c>
    </row>
    <row r="94" spans="7:11" x14ac:dyDescent="0.2">
      <c r="G94" s="5" t="s">
        <v>20</v>
      </c>
      <c r="H94" s="6">
        <v>0.65</v>
      </c>
      <c r="I94">
        <f t="shared" si="3"/>
        <v>0.65</v>
      </c>
      <c r="J94">
        <f t="shared" si="4"/>
        <v>0</v>
      </c>
      <c r="K94">
        <f t="shared" si="5"/>
        <v>0</v>
      </c>
    </row>
    <row r="95" spans="7:11" x14ac:dyDescent="0.2">
      <c r="G95" s="5" t="s">
        <v>53</v>
      </c>
      <c r="H95" s="6">
        <v>0.85</v>
      </c>
      <c r="I95">
        <f t="shared" si="3"/>
        <v>0.85</v>
      </c>
      <c r="J95">
        <f t="shared" si="4"/>
        <v>0</v>
      </c>
      <c r="K95">
        <f t="shared" si="5"/>
        <v>0</v>
      </c>
    </row>
    <row r="96" spans="7:11" x14ac:dyDescent="0.2">
      <c r="G96" s="5" t="s">
        <v>11</v>
      </c>
      <c r="H96" s="6">
        <v>0.65</v>
      </c>
      <c r="I96">
        <f t="shared" si="3"/>
        <v>0.65</v>
      </c>
      <c r="J96">
        <f t="shared" si="4"/>
        <v>0</v>
      </c>
      <c r="K96">
        <f t="shared" si="5"/>
        <v>0</v>
      </c>
    </row>
    <row r="97" spans="7:11" x14ac:dyDescent="0.2">
      <c r="G97" s="5" t="s">
        <v>11</v>
      </c>
      <c r="H97" s="6">
        <v>0.65</v>
      </c>
      <c r="I97">
        <f t="shared" si="3"/>
        <v>0.65</v>
      </c>
      <c r="J97">
        <f t="shared" si="4"/>
        <v>0</v>
      </c>
      <c r="K97">
        <f t="shared" si="5"/>
        <v>0</v>
      </c>
    </row>
    <row r="98" spans="7:11" x14ac:dyDescent="0.2">
      <c r="G98" s="5" t="s">
        <v>62</v>
      </c>
      <c r="H98" s="6">
        <v>0.85</v>
      </c>
      <c r="I98">
        <f t="shared" si="3"/>
        <v>0.85</v>
      </c>
      <c r="J98">
        <f t="shared" si="4"/>
        <v>0</v>
      </c>
      <c r="K98">
        <f t="shared" si="5"/>
        <v>0</v>
      </c>
    </row>
    <row r="99" spans="7:11" x14ac:dyDescent="0.2">
      <c r="G99" s="5" t="s">
        <v>83</v>
      </c>
      <c r="H99" s="6">
        <v>0.95</v>
      </c>
      <c r="I99">
        <f t="shared" si="3"/>
        <v>0.95</v>
      </c>
      <c r="J99">
        <f t="shared" si="4"/>
        <v>0</v>
      </c>
      <c r="K99">
        <f t="shared" si="5"/>
        <v>0</v>
      </c>
    </row>
    <row r="100" spans="7:11" x14ac:dyDescent="0.2">
      <c r="G100" s="5" t="s">
        <v>11</v>
      </c>
      <c r="H100" s="6">
        <v>0.65</v>
      </c>
      <c r="I100">
        <f t="shared" si="3"/>
        <v>0.65</v>
      </c>
      <c r="J100">
        <f t="shared" si="4"/>
        <v>0</v>
      </c>
      <c r="K100">
        <f t="shared" si="5"/>
        <v>0</v>
      </c>
    </row>
    <row r="101" spans="7:11" x14ac:dyDescent="0.2">
      <c r="G101" s="5" t="s">
        <v>62</v>
      </c>
      <c r="H101" s="6">
        <v>0.95</v>
      </c>
      <c r="I101">
        <f t="shared" si="3"/>
        <v>0.85</v>
      </c>
      <c r="J101">
        <f t="shared" si="4"/>
        <v>9.9999999999999978E-2</v>
      </c>
      <c r="K101">
        <f t="shared" si="5"/>
        <v>9.9999999999999978E-2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A1E1-1EEA-604E-9097-B8A6DF17C84F}">
  <dimension ref="A1:M101"/>
  <sheetViews>
    <sheetView tabSelected="1" zoomScale="75" zoomScaleNormal="50" workbookViewId="0">
      <selection activeCell="Y38" sqref="Y38"/>
    </sheetView>
  </sheetViews>
  <sheetFormatPr baseColWidth="10" defaultRowHeight="16" x14ac:dyDescent="0.2"/>
  <cols>
    <col min="8" max="10" width="11" bestFit="1" customWidth="1"/>
    <col min="12" max="12" width="11" bestFit="1" customWidth="1"/>
    <col min="13" max="13" width="12.83203125" bestFit="1" customWidth="1"/>
    <col min="14" max="14" width="16" bestFit="1" customWidth="1"/>
    <col min="15" max="17" width="7.1640625" bestFit="1" customWidth="1"/>
    <col min="18" max="20" width="10.5" bestFit="1" customWidth="1"/>
    <col min="21" max="21" width="14.83203125" bestFit="1" customWidth="1"/>
    <col min="22" max="22" width="16" bestFit="1" customWidth="1"/>
    <col min="23" max="25" width="5.1640625" bestFit="1" customWidth="1"/>
    <col min="26" max="26" width="7" bestFit="1" customWidth="1"/>
    <col min="27" max="27" width="10.5" bestFit="1" customWidth="1"/>
  </cols>
  <sheetData>
    <row r="1" spans="1:13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G1" s="5" t="s">
        <v>89</v>
      </c>
      <c r="H1" s="5" t="s">
        <v>90</v>
      </c>
      <c r="I1" t="s">
        <v>91</v>
      </c>
      <c r="J1" s="5" t="s">
        <v>100</v>
      </c>
      <c r="M1" t="s">
        <v>101</v>
      </c>
    </row>
    <row r="2" spans="1:13" x14ac:dyDescent="0.2">
      <c r="A2" s="3">
        <v>0.65</v>
      </c>
      <c r="B2" s="4">
        <v>0</v>
      </c>
      <c r="C2" t="s">
        <v>5</v>
      </c>
      <c r="D2" t="s">
        <v>6</v>
      </c>
      <c r="E2" t="s">
        <v>7</v>
      </c>
      <c r="G2" s="5" t="s">
        <v>74</v>
      </c>
      <c r="H2" s="6">
        <v>0.95</v>
      </c>
      <c r="I2">
        <f>_xlfn.XLOOKUP(G2,$C$2:$C$35,$A$2:$A$35)</f>
        <v>0.95</v>
      </c>
      <c r="J2" s="6">
        <v>0.76990000000000003</v>
      </c>
      <c r="K2">
        <f>H2-I2</f>
        <v>0</v>
      </c>
      <c r="L2">
        <v>1</v>
      </c>
      <c r="M2">
        <f>-L2*LOG(J2)</f>
        <v>0.11356568037106168</v>
      </c>
    </row>
    <row r="3" spans="1:13" x14ac:dyDescent="0.2">
      <c r="A3" s="3">
        <v>0.65</v>
      </c>
      <c r="B3">
        <v>5</v>
      </c>
      <c r="C3" t="s">
        <v>8</v>
      </c>
      <c r="D3" t="s">
        <v>9</v>
      </c>
      <c r="E3" t="s">
        <v>10</v>
      </c>
      <c r="G3" s="5" t="s">
        <v>41</v>
      </c>
      <c r="H3" s="6">
        <v>0.75</v>
      </c>
      <c r="I3">
        <f t="shared" ref="I3:I66" si="0">_xlfn.XLOOKUP(G3,$C$2:$C$35,$A$2:$A$35)</f>
        <v>0.75</v>
      </c>
      <c r="J3" s="6">
        <v>0.49740000000000001</v>
      </c>
      <c r="K3">
        <f t="shared" ref="K3:K66" si="1">H3-I3</f>
        <v>0</v>
      </c>
      <c r="L3">
        <f t="shared" ref="L3:L66" si="2">IF(K3=0,1,0)</f>
        <v>1</v>
      </c>
      <c r="M3">
        <f t="shared" ref="M3:M66" si="3">-L3*LOG(J3)</f>
        <v>0.30329421906608278</v>
      </c>
    </row>
    <row r="4" spans="1:13" x14ac:dyDescent="0.2">
      <c r="A4" s="3">
        <v>0.65</v>
      </c>
      <c r="B4">
        <v>10</v>
      </c>
      <c r="C4" t="s">
        <v>11</v>
      </c>
      <c r="D4" t="s">
        <v>12</v>
      </c>
      <c r="E4" t="s">
        <v>13</v>
      </c>
      <c r="G4" s="5" t="s">
        <v>32</v>
      </c>
      <c r="H4" s="6">
        <v>0.75</v>
      </c>
      <c r="I4">
        <f t="shared" si="0"/>
        <v>0.75</v>
      </c>
      <c r="J4" s="6">
        <v>0.90839999999999999</v>
      </c>
      <c r="K4">
        <f t="shared" si="1"/>
        <v>0</v>
      </c>
      <c r="L4">
        <f t="shared" si="2"/>
        <v>1</v>
      </c>
      <c r="M4">
        <f t="shared" si="3"/>
        <v>4.1722874452302425E-2</v>
      </c>
    </row>
    <row r="5" spans="1:13" x14ac:dyDescent="0.2">
      <c r="A5" s="3">
        <v>0.65</v>
      </c>
      <c r="B5">
        <v>15</v>
      </c>
      <c r="C5" t="s">
        <v>14</v>
      </c>
      <c r="D5" t="s">
        <v>15</v>
      </c>
      <c r="E5" t="s">
        <v>16</v>
      </c>
      <c r="G5" s="5" t="s">
        <v>53</v>
      </c>
      <c r="H5" s="6">
        <v>0.85</v>
      </c>
      <c r="I5">
        <f t="shared" si="0"/>
        <v>0.85</v>
      </c>
      <c r="J5" s="6">
        <v>0.58069999999999999</v>
      </c>
      <c r="K5">
        <f t="shared" si="1"/>
        <v>0</v>
      </c>
      <c r="L5">
        <f t="shared" si="2"/>
        <v>1</v>
      </c>
      <c r="M5">
        <f t="shared" si="3"/>
        <v>0.23604817396667579</v>
      </c>
    </row>
    <row r="6" spans="1:13" x14ac:dyDescent="0.2">
      <c r="A6" s="3">
        <v>0.65</v>
      </c>
      <c r="B6">
        <v>17.5</v>
      </c>
      <c r="C6" t="s">
        <v>17</v>
      </c>
      <c r="D6" s="3" t="s">
        <v>18</v>
      </c>
      <c r="E6" s="3" t="s">
        <v>19</v>
      </c>
      <c r="G6" s="5" t="s">
        <v>20</v>
      </c>
      <c r="H6" s="6">
        <v>0.65</v>
      </c>
      <c r="I6">
        <f t="shared" si="0"/>
        <v>0.65</v>
      </c>
      <c r="J6" s="6">
        <v>0.48849999999999999</v>
      </c>
      <c r="K6">
        <f t="shared" si="1"/>
        <v>0</v>
      </c>
      <c r="L6">
        <f t="shared" si="2"/>
        <v>1</v>
      </c>
      <c r="M6">
        <f t="shared" si="3"/>
        <v>0.31113543194520815</v>
      </c>
    </row>
    <row r="7" spans="1:13" x14ac:dyDescent="0.2">
      <c r="A7" s="3">
        <v>0.65</v>
      </c>
      <c r="B7">
        <v>20</v>
      </c>
      <c r="C7" t="s">
        <v>20</v>
      </c>
      <c r="D7" t="s">
        <v>21</v>
      </c>
      <c r="E7" t="s">
        <v>22</v>
      </c>
      <c r="G7" s="5" t="s">
        <v>41</v>
      </c>
      <c r="H7" s="6">
        <v>0.75</v>
      </c>
      <c r="I7">
        <f t="shared" si="0"/>
        <v>0.75</v>
      </c>
      <c r="J7" s="6">
        <v>0.6885</v>
      </c>
      <c r="K7">
        <f t="shared" si="1"/>
        <v>0</v>
      </c>
      <c r="L7">
        <f t="shared" si="2"/>
        <v>1</v>
      </c>
      <c r="M7">
        <f t="shared" si="3"/>
        <v>0.16209605540705752</v>
      </c>
    </row>
    <row r="8" spans="1:13" x14ac:dyDescent="0.2">
      <c r="A8" s="3">
        <v>0.65</v>
      </c>
      <c r="B8" s="3">
        <v>22.5</v>
      </c>
      <c r="C8" t="s">
        <v>23</v>
      </c>
      <c r="D8" t="s">
        <v>24</v>
      </c>
      <c r="E8" t="s">
        <v>25</v>
      </c>
      <c r="G8" s="5" t="s">
        <v>83</v>
      </c>
      <c r="H8" s="6">
        <v>0.95</v>
      </c>
      <c r="I8">
        <f t="shared" si="0"/>
        <v>0.95</v>
      </c>
      <c r="J8" s="6">
        <v>0.84009999999999996</v>
      </c>
      <c r="K8">
        <f t="shared" si="1"/>
        <v>0</v>
      </c>
      <c r="L8">
        <f t="shared" si="2"/>
        <v>1</v>
      </c>
      <c r="M8">
        <f t="shared" si="3"/>
        <v>7.5669015291321612E-2</v>
      </c>
    </row>
    <row r="9" spans="1:13" x14ac:dyDescent="0.2">
      <c r="G9" s="5" t="s">
        <v>53</v>
      </c>
      <c r="H9" s="6">
        <v>0.85</v>
      </c>
      <c r="I9">
        <f t="shared" si="0"/>
        <v>0.85</v>
      </c>
      <c r="J9" s="6">
        <v>0.85419999999999996</v>
      </c>
      <c r="K9">
        <f t="shared" si="1"/>
        <v>0</v>
      </c>
      <c r="L9">
        <f t="shared" si="2"/>
        <v>1</v>
      </c>
      <c r="M9">
        <f t="shared" si="3"/>
        <v>6.8440432909194771E-2</v>
      </c>
    </row>
    <row r="10" spans="1:13" x14ac:dyDescent="0.2">
      <c r="G10" s="5" t="s">
        <v>83</v>
      </c>
      <c r="H10" s="6">
        <v>0.95</v>
      </c>
      <c r="I10">
        <f t="shared" si="0"/>
        <v>0.95</v>
      </c>
      <c r="J10" s="6">
        <v>0.75249999999999995</v>
      </c>
      <c r="K10">
        <f t="shared" si="1"/>
        <v>0</v>
      </c>
      <c r="L10">
        <f t="shared" si="2"/>
        <v>1</v>
      </c>
      <c r="M10">
        <f>-L10*LOG(J10)</f>
        <v>0.12349349573411907</v>
      </c>
    </row>
    <row r="11" spans="1:13" x14ac:dyDescent="0.2">
      <c r="A11" s="3">
        <v>0.75</v>
      </c>
      <c r="B11" s="4">
        <v>0</v>
      </c>
      <c r="C11" t="s">
        <v>26</v>
      </c>
      <c r="D11" t="s">
        <v>27</v>
      </c>
      <c r="E11" t="s">
        <v>28</v>
      </c>
      <c r="G11" s="5" t="s">
        <v>53</v>
      </c>
      <c r="H11" s="6">
        <v>0.85</v>
      </c>
      <c r="I11">
        <f t="shared" si="0"/>
        <v>0.85</v>
      </c>
      <c r="J11" s="6">
        <v>0.59519999999999995</v>
      </c>
      <c r="K11">
        <f t="shared" si="1"/>
        <v>0</v>
      </c>
      <c r="L11">
        <f t="shared" si="2"/>
        <v>1</v>
      </c>
      <c r="M11">
        <f>-L11*LOG(J11)</f>
        <v>0.22533707746217774</v>
      </c>
    </row>
    <row r="12" spans="1:13" x14ac:dyDescent="0.2">
      <c r="A12" s="3">
        <v>0.75</v>
      </c>
      <c r="B12">
        <v>5</v>
      </c>
      <c r="C12" t="s">
        <v>29</v>
      </c>
      <c r="D12" t="s">
        <v>30</v>
      </c>
      <c r="E12" t="s">
        <v>31</v>
      </c>
      <c r="G12" s="5" t="s">
        <v>83</v>
      </c>
      <c r="H12" s="6">
        <v>0.95</v>
      </c>
      <c r="I12">
        <f t="shared" si="0"/>
        <v>0.95</v>
      </c>
      <c r="J12" s="6">
        <v>0.54669999999999996</v>
      </c>
      <c r="K12">
        <f t="shared" si="1"/>
        <v>0</v>
      </c>
      <c r="L12">
        <f t="shared" si="2"/>
        <v>1</v>
      </c>
      <c r="M12">
        <f>-L12*LOG(J12)</f>
        <v>0.26225092610844286</v>
      </c>
    </row>
    <row r="13" spans="1:13" x14ac:dyDescent="0.2">
      <c r="A13" s="3">
        <v>0.75</v>
      </c>
      <c r="B13">
        <v>10</v>
      </c>
      <c r="C13" t="s">
        <v>32</v>
      </c>
      <c r="D13" t="s">
        <v>33</v>
      </c>
      <c r="E13" t="s">
        <v>34</v>
      </c>
      <c r="G13" s="5" t="s">
        <v>53</v>
      </c>
      <c r="H13" s="6">
        <v>0.85</v>
      </c>
      <c r="I13">
        <f t="shared" si="0"/>
        <v>0.85</v>
      </c>
      <c r="J13" s="6">
        <v>0.66059999999999997</v>
      </c>
      <c r="K13">
        <f t="shared" si="1"/>
        <v>0</v>
      </c>
      <c r="L13">
        <f t="shared" si="2"/>
        <v>1</v>
      </c>
      <c r="M13">
        <f t="shared" si="3"/>
        <v>0.18006143064460461</v>
      </c>
    </row>
    <row r="14" spans="1:13" x14ac:dyDescent="0.2">
      <c r="A14" s="3">
        <v>0.75</v>
      </c>
      <c r="B14">
        <v>15</v>
      </c>
      <c r="C14" t="s">
        <v>35</v>
      </c>
      <c r="D14" t="s">
        <v>36</v>
      </c>
      <c r="E14" t="s">
        <v>37</v>
      </c>
      <c r="G14" s="5" t="s">
        <v>62</v>
      </c>
      <c r="H14" s="6">
        <v>0.85</v>
      </c>
      <c r="I14">
        <f t="shared" si="0"/>
        <v>0.85</v>
      </c>
      <c r="J14" s="6">
        <v>0.83760000000000001</v>
      </c>
      <c r="K14">
        <f t="shared" si="1"/>
        <v>0</v>
      </c>
      <c r="L14">
        <f t="shared" si="2"/>
        <v>1</v>
      </c>
      <c r="M14">
        <f t="shared" si="3"/>
        <v>7.6963331329214069E-2</v>
      </c>
    </row>
    <row r="15" spans="1:13" x14ac:dyDescent="0.2">
      <c r="A15" s="3">
        <v>0.75</v>
      </c>
      <c r="B15">
        <v>17.5</v>
      </c>
      <c r="C15" t="s">
        <v>38</v>
      </c>
      <c r="D15" t="s">
        <v>39</v>
      </c>
      <c r="E15" t="s">
        <v>40</v>
      </c>
      <c r="G15" s="5" t="s">
        <v>83</v>
      </c>
      <c r="H15" s="6">
        <v>0.95</v>
      </c>
      <c r="I15">
        <f t="shared" si="0"/>
        <v>0.95</v>
      </c>
      <c r="J15" s="6">
        <v>0.81440000000000001</v>
      </c>
      <c r="K15">
        <f t="shared" si="1"/>
        <v>0</v>
      </c>
      <c r="L15">
        <f t="shared" si="2"/>
        <v>1</v>
      </c>
      <c r="M15">
        <f t="shared" si="3"/>
        <v>8.9162235007316459E-2</v>
      </c>
    </row>
    <row r="16" spans="1:13" x14ac:dyDescent="0.2">
      <c r="A16" s="3">
        <v>0.75</v>
      </c>
      <c r="B16">
        <v>20</v>
      </c>
      <c r="C16" t="s">
        <v>41</v>
      </c>
      <c r="D16" t="s">
        <v>42</v>
      </c>
      <c r="E16" t="s">
        <v>43</v>
      </c>
      <c r="G16" s="5" t="s">
        <v>11</v>
      </c>
      <c r="H16" s="6">
        <v>0.65</v>
      </c>
      <c r="I16">
        <f t="shared" si="0"/>
        <v>0.65</v>
      </c>
      <c r="J16" s="6">
        <v>1</v>
      </c>
      <c r="K16">
        <f t="shared" si="1"/>
        <v>0</v>
      </c>
      <c r="L16">
        <f t="shared" si="2"/>
        <v>1</v>
      </c>
      <c r="M16">
        <f t="shared" si="3"/>
        <v>0</v>
      </c>
    </row>
    <row r="17" spans="1:13" x14ac:dyDescent="0.2">
      <c r="A17" s="3">
        <v>0.75</v>
      </c>
      <c r="B17">
        <v>22.5</v>
      </c>
      <c r="C17" t="s">
        <v>44</v>
      </c>
      <c r="D17" t="s">
        <v>45</v>
      </c>
      <c r="E17" t="s">
        <v>46</v>
      </c>
      <c r="G17" s="5" t="s">
        <v>53</v>
      </c>
      <c r="H17" s="6">
        <v>0.85</v>
      </c>
      <c r="I17">
        <f t="shared" si="0"/>
        <v>0.85</v>
      </c>
      <c r="J17" s="6">
        <v>0.80620000000000003</v>
      </c>
      <c r="K17">
        <f t="shared" si="1"/>
        <v>0</v>
      </c>
      <c r="L17">
        <f t="shared" si="2"/>
        <v>1</v>
      </c>
      <c r="M17">
        <f t="shared" si="3"/>
        <v>9.3557206182967617E-2</v>
      </c>
    </row>
    <row r="18" spans="1:13" x14ac:dyDescent="0.2">
      <c r="G18" s="5" t="s">
        <v>74</v>
      </c>
      <c r="H18" s="6">
        <v>0.95</v>
      </c>
      <c r="I18">
        <f t="shared" si="0"/>
        <v>0.95</v>
      </c>
      <c r="J18" s="6">
        <v>0.95760000000000001</v>
      </c>
      <c r="K18">
        <f t="shared" si="1"/>
        <v>0</v>
      </c>
      <c r="L18">
        <f t="shared" si="2"/>
        <v>1</v>
      </c>
      <c r="M18">
        <f t="shared" si="3"/>
        <v>1.8815862601645743E-2</v>
      </c>
    </row>
    <row r="19" spans="1:13" x14ac:dyDescent="0.2">
      <c r="G19" s="5" t="s">
        <v>11</v>
      </c>
      <c r="H19" s="6">
        <v>0.65</v>
      </c>
      <c r="I19">
        <f t="shared" si="0"/>
        <v>0.65</v>
      </c>
      <c r="J19" s="6">
        <v>1</v>
      </c>
      <c r="K19">
        <f t="shared" si="1"/>
        <v>0</v>
      </c>
      <c r="L19">
        <f t="shared" si="2"/>
        <v>1</v>
      </c>
      <c r="M19">
        <f t="shared" si="3"/>
        <v>0</v>
      </c>
    </row>
    <row r="20" spans="1:13" x14ac:dyDescent="0.2">
      <c r="A20" s="3">
        <v>0.85</v>
      </c>
      <c r="B20" s="4">
        <v>0</v>
      </c>
      <c r="C20" t="s">
        <v>47</v>
      </c>
      <c r="D20" t="s">
        <v>48</v>
      </c>
      <c r="E20" t="s">
        <v>49</v>
      </c>
      <c r="G20" s="5" t="s">
        <v>41</v>
      </c>
      <c r="H20" s="6">
        <v>0.75</v>
      </c>
      <c r="I20">
        <f t="shared" si="0"/>
        <v>0.75</v>
      </c>
      <c r="J20" s="6">
        <v>0.49349999999999999</v>
      </c>
      <c r="K20">
        <f t="shared" si="1"/>
        <v>0</v>
      </c>
      <c r="L20">
        <f t="shared" si="2"/>
        <v>1</v>
      </c>
      <c r="M20">
        <f>-L20*LOG(J20)</f>
        <v>0.30671284299434448</v>
      </c>
    </row>
    <row r="21" spans="1:13" x14ac:dyDescent="0.2">
      <c r="A21" s="3">
        <v>0.85</v>
      </c>
      <c r="B21">
        <v>5</v>
      </c>
      <c r="C21" t="s">
        <v>50</v>
      </c>
      <c r="D21" t="s">
        <v>51</v>
      </c>
      <c r="E21" t="s">
        <v>52</v>
      </c>
      <c r="G21" s="5" t="s">
        <v>32</v>
      </c>
      <c r="H21" s="6">
        <v>0.85</v>
      </c>
      <c r="I21">
        <f t="shared" si="0"/>
        <v>0.75</v>
      </c>
      <c r="J21" s="6">
        <v>0.53549999999999998</v>
      </c>
      <c r="K21">
        <f t="shared" si="1"/>
        <v>9.9999999999999978E-2</v>
      </c>
      <c r="L21">
        <f t="shared" si="2"/>
        <v>0</v>
      </c>
      <c r="M21">
        <f t="shared" si="3"/>
        <v>0</v>
      </c>
    </row>
    <row r="22" spans="1:13" x14ac:dyDescent="0.2">
      <c r="A22" s="3">
        <v>0.85</v>
      </c>
      <c r="B22">
        <v>10</v>
      </c>
      <c r="C22" t="s">
        <v>53</v>
      </c>
      <c r="D22" t="s">
        <v>54</v>
      </c>
      <c r="E22" t="s">
        <v>55</v>
      </c>
      <c r="G22" s="5" t="s">
        <v>20</v>
      </c>
      <c r="H22" s="6">
        <v>0.65</v>
      </c>
      <c r="I22">
        <f t="shared" si="0"/>
        <v>0.65</v>
      </c>
      <c r="J22" s="6">
        <v>0.74739999999999995</v>
      </c>
      <c r="K22">
        <f t="shared" si="1"/>
        <v>0</v>
      </c>
      <c r="L22">
        <f t="shared" si="2"/>
        <v>1</v>
      </c>
      <c r="M22">
        <f t="shared" si="3"/>
        <v>0.12644690648638127</v>
      </c>
    </row>
    <row r="23" spans="1:13" x14ac:dyDescent="0.2">
      <c r="A23" s="3">
        <v>0.85</v>
      </c>
      <c r="B23">
        <v>15</v>
      </c>
      <c r="C23" t="s">
        <v>56</v>
      </c>
      <c r="D23" t="s">
        <v>57</v>
      </c>
      <c r="E23" t="s">
        <v>58</v>
      </c>
      <c r="G23" s="5" t="s">
        <v>74</v>
      </c>
      <c r="H23" s="6">
        <v>0.95</v>
      </c>
      <c r="I23">
        <f t="shared" si="0"/>
        <v>0.95</v>
      </c>
      <c r="J23" s="6">
        <v>0.96630000000000005</v>
      </c>
      <c r="K23">
        <f t="shared" si="1"/>
        <v>0</v>
      </c>
      <c r="L23">
        <f t="shared" si="2"/>
        <v>1</v>
      </c>
      <c r="M23">
        <f t="shared" si="3"/>
        <v>1.488802046064615E-2</v>
      </c>
    </row>
    <row r="24" spans="1:13" x14ac:dyDescent="0.2">
      <c r="A24" s="3">
        <v>0.85</v>
      </c>
      <c r="B24">
        <v>17.5</v>
      </c>
      <c r="C24" t="s">
        <v>59</v>
      </c>
      <c r="D24" t="s">
        <v>60</v>
      </c>
      <c r="E24" t="s">
        <v>61</v>
      </c>
      <c r="G24" s="5" t="s">
        <v>74</v>
      </c>
      <c r="H24" s="6">
        <v>0.95</v>
      </c>
      <c r="I24">
        <f t="shared" si="0"/>
        <v>0.95</v>
      </c>
      <c r="J24" s="6">
        <v>0.94840000000000002</v>
      </c>
      <c r="K24">
        <f t="shared" si="1"/>
        <v>0</v>
      </c>
      <c r="L24">
        <f t="shared" si="2"/>
        <v>1</v>
      </c>
      <c r="M24">
        <f t="shared" si="3"/>
        <v>2.3008454693849448E-2</v>
      </c>
    </row>
    <row r="25" spans="1:13" x14ac:dyDescent="0.2">
      <c r="A25" s="3">
        <v>0.85</v>
      </c>
      <c r="B25">
        <v>20</v>
      </c>
      <c r="C25" t="s">
        <v>62</v>
      </c>
      <c r="D25" t="s">
        <v>63</v>
      </c>
      <c r="E25" t="s">
        <v>64</v>
      </c>
      <c r="G25" s="5" t="s">
        <v>41</v>
      </c>
      <c r="H25" s="6">
        <v>0.75</v>
      </c>
      <c r="I25">
        <f t="shared" si="0"/>
        <v>0.75</v>
      </c>
      <c r="J25" s="6">
        <v>0.74509999999999998</v>
      </c>
      <c r="K25">
        <f t="shared" si="1"/>
        <v>0</v>
      </c>
      <c r="L25">
        <f t="shared" si="2"/>
        <v>1</v>
      </c>
      <c r="M25">
        <f t="shared" si="3"/>
        <v>0.12778543660241448</v>
      </c>
    </row>
    <row r="26" spans="1:13" x14ac:dyDescent="0.2">
      <c r="A26" s="3">
        <v>0.85</v>
      </c>
      <c r="B26">
        <v>22.5</v>
      </c>
      <c r="C26" t="s">
        <v>65</v>
      </c>
      <c r="D26" t="s">
        <v>66</v>
      </c>
      <c r="E26" t="s">
        <v>67</v>
      </c>
      <c r="G26" s="5" t="s">
        <v>62</v>
      </c>
      <c r="H26" s="6">
        <v>0.75</v>
      </c>
      <c r="I26">
        <f t="shared" si="0"/>
        <v>0.85</v>
      </c>
      <c r="J26" s="6">
        <v>0.53459999999999996</v>
      </c>
      <c r="K26">
        <f t="shared" si="1"/>
        <v>-9.9999999999999978E-2</v>
      </c>
      <c r="L26">
        <f t="shared" si="2"/>
        <v>0</v>
      </c>
      <c r="M26">
        <f t="shared" si="3"/>
        <v>0</v>
      </c>
    </row>
    <row r="27" spans="1:13" x14ac:dyDescent="0.2">
      <c r="G27" s="5" t="s">
        <v>83</v>
      </c>
      <c r="H27" s="6">
        <v>0.95</v>
      </c>
      <c r="I27">
        <f t="shared" si="0"/>
        <v>0.95</v>
      </c>
      <c r="J27" s="6">
        <v>0.73619999999999997</v>
      </c>
      <c r="K27">
        <f t="shared" si="1"/>
        <v>0</v>
      </c>
      <c r="L27">
        <f t="shared" si="2"/>
        <v>1</v>
      </c>
      <c r="M27">
        <f t="shared" si="3"/>
        <v>0.13300418688935214</v>
      </c>
    </row>
    <row r="28" spans="1:13" x14ac:dyDescent="0.2">
      <c r="G28" s="5" t="s">
        <v>41</v>
      </c>
      <c r="H28" s="6">
        <v>0.75</v>
      </c>
      <c r="I28">
        <f t="shared" si="0"/>
        <v>0.75</v>
      </c>
      <c r="J28" s="6">
        <v>0.45250000000000001</v>
      </c>
      <c r="K28">
        <f t="shared" si="1"/>
        <v>0</v>
      </c>
      <c r="L28">
        <f t="shared" si="2"/>
        <v>1</v>
      </c>
      <c r="M28">
        <f t="shared" si="3"/>
        <v>0.34438141645877784</v>
      </c>
    </row>
    <row r="29" spans="1:13" x14ac:dyDescent="0.2">
      <c r="A29" s="3">
        <v>0.95</v>
      </c>
      <c r="B29" s="4">
        <v>0</v>
      </c>
      <c r="C29" t="s">
        <v>68</v>
      </c>
      <c r="D29" t="s">
        <v>69</v>
      </c>
      <c r="E29" t="s">
        <v>70</v>
      </c>
      <c r="G29" s="5" t="s">
        <v>53</v>
      </c>
      <c r="H29" s="6">
        <v>0.85</v>
      </c>
      <c r="I29">
        <f t="shared" si="0"/>
        <v>0.85</v>
      </c>
      <c r="J29" s="6">
        <v>0.7298</v>
      </c>
      <c r="K29">
        <f t="shared" si="1"/>
        <v>0</v>
      </c>
      <c r="L29">
        <f t="shared" si="2"/>
        <v>1</v>
      </c>
      <c r="M29">
        <f t="shared" si="3"/>
        <v>0.13679614097137052</v>
      </c>
    </row>
    <row r="30" spans="1:13" x14ac:dyDescent="0.2">
      <c r="A30" s="3">
        <v>0.95</v>
      </c>
      <c r="B30">
        <v>5</v>
      </c>
      <c r="C30" t="s">
        <v>71</v>
      </c>
      <c r="D30" t="s">
        <v>72</v>
      </c>
      <c r="E30" t="s">
        <v>73</v>
      </c>
      <c r="G30" s="5" t="s">
        <v>74</v>
      </c>
      <c r="H30" s="6">
        <v>0.95</v>
      </c>
      <c r="I30">
        <f t="shared" si="0"/>
        <v>0.95</v>
      </c>
      <c r="J30" s="6">
        <v>0.95609999999999995</v>
      </c>
      <c r="K30">
        <f t="shared" si="1"/>
        <v>0</v>
      </c>
      <c r="L30">
        <f t="shared" si="2"/>
        <v>1</v>
      </c>
      <c r="M30">
        <f>-L30*LOG(J30)</f>
        <v>1.949668180660491E-2</v>
      </c>
    </row>
    <row r="31" spans="1:13" x14ac:dyDescent="0.2">
      <c r="A31" s="3">
        <v>0.95</v>
      </c>
      <c r="B31">
        <v>10</v>
      </c>
      <c r="C31" t="s">
        <v>74</v>
      </c>
      <c r="D31" t="s">
        <v>75</v>
      </c>
      <c r="E31" t="s">
        <v>76</v>
      </c>
      <c r="G31" s="5" t="s">
        <v>83</v>
      </c>
      <c r="H31" s="6">
        <v>0.95</v>
      </c>
      <c r="I31">
        <f t="shared" si="0"/>
        <v>0.95</v>
      </c>
      <c r="J31" s="6">
        <v>0.69540000000000002</v>
      </c>
      <c r="K31">
        <f t="shared" si="1"/>
        <v>0</v>
      </c>
      <c r="L31">
        <f t="shared" si="2"/>
        <v>1</v>
      </c>
      <c r="M31">
        <f t="shared" si="3"/>
        <v>0.15776531365276036</v>
      </c>
    </row>
    <row r="32" spans="1:13" x14ac:dyDescent="0.2">
      <c r="A32" s="3">
        <v>0.95</v>
      </c>
      <c r="B32">
        <v>15</v>
      </c>
      <c r="C32" t="s">
        <v>77</v>
      </c>
      <c r="D32" t="s">
        <v>78</v>
      </c>
      <c r="E32" t="s">
        <v>79</v>
      </c>
      <c r="G32" s="5" t="s">
        <v>83</v>
      </c>
      <c r="H32" s="6">
        <v>0.95</v>
      </c>
      <c r="I32">
        <f t="shared" si="0"/>
        <v>0.95</v>
      </c>
      <c r="J32" s="6">
        <v>0.52049999999999996</v>
      </c>
      <c r="K32">
        <f t="shared" si="1"/>
        <v>0</v>
      </c>
      <c r="L32">
        <f t="shared" si="2"/>
        <v>1</v>
      </c>
      <c r="M32">
        <f t="shared" si="3"/>
        <v>0.28357926615344509</v>
      </c>
    </row>
    <row r="33" spans="1:13" x14ac:dyDescent="0.2">
      <c r="A33" s="3">
        <v>0.95</v>
      </c>
      <c r="B33">
        <v>17.5</v>
      </c>
      <c r="C33" t="s">
        <v>80</v>
      </c>
      <c r="D33" t="s">
        <v>81</v>
      </c>
      <c r="E33" t="s">
        <v>82</v>
      </c>
      <c r="G33" s="5" t="s">
        <v>41</v>
      </c>
      <c r="H33" s="6">
        <v>0.75</v>
      </c>
      <c r="I33">
        <f t="shared" si="0"/>
        <v>0.75</v>
      </c>
      <c r="J33" s="6">
        <v>0.63060000000000005</v>
      </c>
      <c r="K33">
        <f t="shared" si="1"/>
        <v>0</v>
      </c>
      <c r="L33">
        <f t="shared" si="2"/>
        <v>1</v>
      </c>
      <c r="M33">
        <f t="shared" si="3"/>
        <v>0.2002460335881141</v>
      </c>
    </row>
    <row r="34" spans="1:13" x14ac:dyDescent="0.2">
      <c r="A34" s="3">
        <v>0.95</v>
      </c>
      <c r="B34">
        <v>20</v>
      </c>
      <c r="C34" t="s">
        <v>83</v>
      </c>
      <c r="D34" t="s">
        <v>84</v>
      </c>
      <c r="E34" t="s">
        <v>85</v>
      </c>
      <c r="G34" s="5" t="s">
        <v>32</v>
      </c>
      <c r="H34" s="6">
        <v>0.75</v>
      </c>
      <c r="I34">
        <f t="shared" si="0"/>
        <v>0.75</v>
      </c>
      <c r="J34" s="6">
        <v>0.58440000000000003</v>
      </c>
      <c r="K34">
        <f t="shared" si="1"/>
        <v>0</v>
      </c>
      <c r="L34">
        <f t="shared" si="2"/>
        <v>1</v>
      </c>
      <c r="M34">
        <f t="shared" si="3"/>
        <v>0.23328979273774081</v>
      </c>
    </row>
    <row r="35" spans="1:13" x14ac:dyDescent="0.2">
      <c r="A35" s="3">
        <v>0.95</v>
      </c>
      <c r="B35">
        <v>22.5</v>
      </c>
      <c r="C35" t="s">
        <v>86</v>
      </c>
      <c r="D35" t="s">
        <v>87</v>
      </c>
      <c r="E35" t="s">
        <v>88</v>
      </c>
      <c r="G35" s="5" t="s">
        <v>53</v>
      </c>
      <c r="H35" s="6">
        <v>0.85</v>
      </c>
      <c r="I35">
        <f t="shared" si="0"/>
        <v>0.85</v>
      </c>
      <c r="J35" s="6">
        <v>0.8105</v>
      </c>
      <c r="K35">
        <f t="shared" si="1"/>
        <v>0</v>
      </c>
      <c r="L35">
        <f t="shared" si="2"/>
        <v>1</v>
      </c>
      <c r="M35">
        <f t="shared" si="3"/>
        <v>9.1246980815466255E-2</v>
      </c>
    </row>
    <row r="36" spans="1:13" x14ac:dyDescent="0.2">
      <c r="G36" s="5" t="s">
        <v>53</v>
      </c>
      <c r="H36" s="6">
        <v>0.85</v>
      </c>
      <c r="I36">
        <f t="shared" si="0"/>
        <v>0.85</v>
      </c>
      <c r="J36" s="6">
        <v>0.77929999999999999</v>
      </c>
      <c r="K36">
        <f t="shared" si="1"/>
        <v>0</v>
      </c>
      <c r="L36">
        <f t="shared" si="2"/>
        <v>1</v>
      </c>
      <c r="M36">
        <f t="shared" si="3"/>
        <v>0.10829532376081731</v>
      </c>
    </row>
    <row r="37" spans="1:13" x14ac:dyDescent="0.2">
      <c r="G37" s="5" t="s">
        <v>62</v>
      </c>
      <c r="H37" s="6">
        <v>0.85</v>
      </c>
      <c r="I37">
        <f t="shared" si="0"/>
        <v>0.85</v>
      </c>
      <c r="J37" s="6">
        <v>0.68330000000000002</v>
      </c>
      <c r="K37">
        <f t="shared" si="1"/>
        <v>0</v>
      </c>
      <c r="L37">
        <f t="shared" si="2"/>
        <v>1</v>
      </c>
      <c r="M37">
        <f t="shared" si="3"/>
        <v>0.16538857927731282</v>
      </c>
    </row>
    <row r="38" spans="1:13" x14ac:dyDescent="0.2">
      <c r="G38" s="5" t="s">
        <v>83</v>
      </c>
      <c r="H38" s="6">
        <v>0.95</v>
      </c>
      <c r="I38">
        <f t="shared" si="0"/>
        <v>0.95</v>
      </c>
      <c r="J38" s="6">
        <v>0.85360000000000003</v>
      </c>
      <c r="K38">
        <f t="shared" si="1"/>
        <v>0</v>
      </c>
      <c r="L38">
        <f t="shared" si="2"/>
        <v>1</v>
      </c>
      <c r="M38">
        <f t="shared" si="3"/>
        <v>6.8745593583586506E-2</v>
      </c>
    </row>
    <row r="39" spans="1:13" x14ac:dyDescent="0.2">
      <c r="G39" s="5" t="s">
        <v>53</v>
      </c>
      <c r="H39" s="6">
        <v>0.85</v>
      </c>
      <c r="I39">
        <f t="shared" si="0"/>
        <v>0.85</v>
      </c>
      <c r="J39" s="6">
        <v>0.48770000000000002</v>
      </c>
      <c r="K39">
        <f t="shared" si="1"/>
        <v>0</v>
      </c>
      <c r="L39">
        <f t="shared" si="2"/>
        <v>1</v>
      </c>
      <c r="M39">
        <f t="shared" si="3"/>
        <v>0.31184724440843364</v>
      </c>
    </row>
    <row r="40" spans="1:13" x14ac:dyDescent="0.2">
      <c r="G40" s="5" t="s">
        <v>11</v>
      </c>
      <c r="H40" s="6">
        <v>0.65</v>
      </c>
      <c r="I40">
        <f t="shared" si="0"/>
        <v>0.65</v>
      </c>
      <c r="J40" s="6">
        <v>1</v>
      </c>
      <c r="K40">
        <f t="shared" si="1"/>
        <v>0</v>
      </c>
      <c r="L40">
        <f t="shared" si="2"/>
        <v>1</v>
      </c>
      <c r="M40">
        <f t="shared" si="3"/>
        <v>0</v>
      </c>
    </row>
    <row r="41" spans="1:13" x14ac:dyDescent="0.2">
      <c r="G41" s="5" t="s">
        <v>20</v>
      </c>
      <c r="H41" s="6">
        <v>0.75</v>
      </c>
      <c r="I41">
        <f t="shared" si="0"/>
        <v>0.65</v>
      </c>
      <c r="J41" s="6">
        <v>0.52239999999999998</v>
      </c>
      <c r="K41">
        <f t="shared" si="1"/>
        <v>9.9999999999999978E-2</v>
      </c>
      <c r="L41">
        <f t="shared" si="2"/>
        <v>0</v>
      </c>
      <c r="M41">
        <f t="shared" si="3"/>
        <v>0</v>
      </c>
    </row>
    <row r="42" spans="1:13" x14ac:dyDescent="0.2">
      <c r="G42" s="5" t="s">
        <v>62</v>
      </c>
      <c r="H42" s="6">
        <v>0.95</v>
      </c>
      <c r="I42">
        <f t="shared" si="0"/>
        <v>0.85</v>
      </c>
      <c r="J42" s="6">
        <v>0.49769999999999998</v>
      </c>
      <c r="K42">
        <f t="shared" si="1"/>
        <v>9.9999999999999978E-2</v>
      </c>
      <c r="L42">
        <f t="shared" si="2"/>
        <v>0</v>
      </c>
      <c r="M42">
        <f t="shared" si="3"/>
        <v>0</v>
      </c>
    </row>
    <row r="43" spans="1:13" x14ac:dyDescent="0.2">
      <c r="G43" s="5" t="s">
        <v>62</v>
      </c>
      <c r="H43" s="6">
        <v>0.75</v>
      </c>
      <c r="I43">
        <f t="shared" si="0"/>
        <v>0.85</v>
      </c>
      <c r="J43" s="6">
        <v>0.43330000000000002</v>
      </c>
      <c r="K43">
        <f t="shared" si="1"/>
        <v>-9.9999999999999978E-2</v>
      </c>
      <c r="L43">
        <f t="shared" si="2"/>
        <v>0</v>
      </c>
      <c r="M43">
        <f t="shared" si="3"/>
        <v>0</v>
      </c>
    </row>
    <row r="44" spans="1:13" x14ac:dyDescent="0.2">
      <c r="G44" s="5" t="s">
        <v>53</v>
      </c>
      <c r="H44" s="6">
        <v>0.85</v>
      </c>
      <c r="I44">
        <f t="shared" si="0"/>
        <v>0.85</v>
      </c>
      <c r="J44" s="6">
        <v>0.73260000000000003</v>
      </c>
      <c r="K44">
        <f t="shared" si="1"/>
        <v>0</v>
      </c>
      <c r="L44">
        <f t="shared" si="2"/>
        <v>1</v>
      </c>
      <c r="M44">
        <f t="shared" si="3"/>
        <v>0.13513308567147386</v>
      </c>
    </row>
    <row r="45" spans="1:13" x14ac:dyDescent="0.2">
      <c r="G45" s="5" t="s">
        <v>20</v>
      </c>
      <c r="H45" s="6">
        <v>0.65</v>
      </c>
      <c r="I45">
        <f t="shared" si="0"/>
        <v>0.65</v>
      </c>
      <c r="J45" s="6">
        <v>0.93379999999999996</v>
      </c>
      <c r="K45">
        <f t="shared" si="1"/>
        <v>0</v>
      </c>
      <c r="L45">
        <f t="shared" si="2"/>
        <v>1</v>
      </c>
      <c r="M45">
        <f t="shared" si="3"/>
        <v>2.9746130405213025E-2</v>
      </c>
    </row>
    <row r="46" spans="1:13" x14ac:dyDescent="0.2">
      <c r="G46" s="5" t="s">
        <v>32</v>
      </c>
      <c r="H46" s="6">
        <v>0.75</v>
      </c>
      <c r="I46">
        <f t="shared" si="0"/>
        <v>0.75</v>
      </c>
      <c r="J46" s="6">
        <v>0.90180000000000005</v>
      </c>
      <c r="K46">
        <f t="shared" si="1"/>
        <v>0</v>
      </c>
      <c r="L46">
        <f t="shared" si="2"/>
        <v>1</v>
      </c>
      <c r="M46">
        <f t="shared" si="3"/>
        <v>4.488976902944819E-2</v>
      </c>
    </row>
    <row r="47" spans="1:13" x14ac:dyDescent="0.2">
      <c r="G47" s="5" t="s">
        <v>32</v>
      </c>
      <c r="H47" s="6">
        <v>0.75</v>
      </c>
      <c r="I47">
        <f t="shared" si="0"/>
        <v>0.75</v>
      </c>
      <c r="J47" s="6">
        <v>0.96419999999999995</v>
      </c>
      <c r="K47">
        <f t="shared" si="1"/>
        <v>0</v>
      </c>
      <c r="L47">
        <f t="shared" si="2"/>
        <v>1</v>
      </c>
      <c r="M47">
        <f t="shared" si="3"/>
        <v>1.5832872853011857E-2</v>
      </c>
    </row>
    <row r="48" spans="1:13" x14ac:dyDescent="0.2">
      <c r="G48" s="5" t="s">
        <v>20</v>
      </c>
      <c r="H48" s="6">
        <v>0.65</v>
      </c>
      <c r="I48">
        <f t="shared" si="0"/>
        <v>0.65</v>
      </c>
      <c r="J48" s="6">
        <v>0.8508</v>
      </c>
      <c r="K48">
        <f t="shared" si="1"/>
        <v>0</v>
      </c>
      <c r="L48">
        <f t="shared" si="2"/>
        <v>1</v>
      </c>
      <c r="M48">
        <f t="shared" si="3"/>
        <v>7.0172518769308634E-2</v>
      </c>
    </row>
    <row r="49" spans="7:13" x14ac:dyDescent="0.2">
      <c r="G49" s="5" t="s">
        <v>20</v>
      </c>
      <c r="H49" s="6">
        <v>0.65</v>
      </c>
      <c r="I49">
        <f t="shared" si="0"/>
        <v>0.65</v>
      </c>
      <c r="J49" s="6">
        <v>0.7782</v>
      </c>
      <c r="K49">
        <f t="shared" si="1"/>
        <v>0</v>
      </c>
      <c r="L49">
        <f t="shared" si="2"/>
        <v>1</v>
      </c>
      <c r="M49">
        <f t="shared" si="3"/>
        <v>0.10890877353227628</v>
      </c>
    </row>
    <row r="50" spans="7:13" x14ac:dyDescent="0.2">
      <c r="G50" s="5" t="s">
        <v>83</v>
      </c>
      <c r="H50" s="6">
        <v>0.95</v>
      </c>
      <c r="I50">
        <f t="shared" si="0"/>
        <v>0.95</v>
      </c>
      <c r="J50" s="6">
        <v>0.71020000000000005</v>
      </c>
      <c r="K50">
        <f t="shared" si="1"/>
        <v>0</v>
      </c>
      <c r="L50">
        <f t="shared" si="2"/>
        <v>1</v>
      </c>
      <c r="M50">
        <f t="shared" si="3"/>
        <v>0.14861933203440328</v>
      </c>
    </row>
    <row r="51" spans="7:13" x14ac:dyDescent="0.2">
      <c r="G51" s="5" t="s">
        <v>74</v>
      </c>
      <c r="H51" s="6">
        <v>0.95</v>
      </c>
      <c r="I51">
        <f t="shared" si="0"/>
        <v>0.95</v>
      </c>
      <c r="J51" s="6">
        <v>0.88880000000000003</v>
      </c>
      <c r="K51">
        <f t="shared" si="1"/>
        <v>0</v>
      </c>
      <c r="L51">
        <f t="shared" si="2"/>
        <v>1</v>
      </c>
      <c r="M51">
        <f t="shared" si="3"/>
        <v>5.1195954067188784E-2</v>
      </c>
    </row>
    <row r="52" spans="7:13" x14ac:dyDescent="0.2">
      <c r="G52" s="5" t="s">
        <v>11</v>
      </c>
      <c r="H52" s="6">
        <v>0.65</v>
      </c>
      <c r="I52">
        <f t="shared" si="0"/>
        <v>0.65</v>
      </c>
      <c r="J52" s="6">
        <v>1</v>
      </c>
      <c r="K52">
        <f t="shared" si="1"/>
        <v>0</v>
      </c>
      <c r="L52">
        <f t="shared" si="2"/>
        <v>1</v>
      </c>
      <c r="M52">
        <f t="shared" si="3"/>
        <v>0</v>
      </c>
    </row>
    <row r="53" spans="7:13" x14ac:dyDescent="0.2">
      <c r="G53" s="5" t="s">
        <v>11</v>
      </c>
      <c r="H53" s="6">
        <v>0.65</v>
      </c>
      <c r="I53">
        <f t="shared" si="0"/>
        <v>0.65</v>
      </c>
      <c r="J53" s="6">
        <v>1</v>
      </c>
      <c r="K53">
        <f t="shared" si="1"/>
        <v>0</v>
      </c>
      <c r="L53">
        <f t="shared" si="2"/>
        <v>1</v>
      </c>
      <c r="M53">
        <f t="shared" si="3"/>
        <v>0</v>
      </c>
    </row>
    <row r="54" spans="7:13" x14ac:dyDescent="0.2">
      <c r="G54" s="5" t="s">
        <v>74</v>
      </c>
      <c r="H54" s="6">
        <v>0.95</v>
      </c>
      <c r="I54">
        <f t="shared" si="0"/>
        <v>0.95</v>
      </c>
      <c r="J54" s="6">
        <v>0.71060000000000001</v>
      </c>
      <c r="K54">
        <f t="shared" si="1"/>
        <v>0</v>
      </c>
      <c r="L54">
        <f t="shared" si="2"/>
        <v>1</v>
      </c>
      <c r="M54">
        <f t="shared" si="3"/>
        <v>0.14837479684669086</v>
      </c>
    </row>
    <row r="55" spans="7:13" x14ac:dyDescent="0.2">
      <c r="G55" s="5" t="s">
        <v>11</v>
      </c>
      <c r="H55" s="6">
        <v>0.65</v>
      </c>
      <c r="I55">
        <f t="shared" si="0"/>
        <v>0.65</v>
      </c>
      <c r="J55" s="6">
        <v>1</v>
      </c>
      <c r="K55">
        <f t="shared" si="1"/>
        <v>0</v>
      </c>
      <c r="L55">
        <f t="shared" si="2"/>
        <v>1</v>
      </c>
      <c r="M55">
        <f t="shared" si="3"/>
        <v>0</v>
      </c>
    </row>
    <row r="56" spans="7:13" x14ac:dyDescent="0.2">
      <c r="G56" s="5" t="s">
        <v>53</v>
      </c>
      <c r="H56" s="6">
        <v>0.85</v>
      </c>
      <c r="I56">
        <f t="shared" si="0"/>
        <v>0.85</v>
      </c>
      <c r="J56" s="6">
        <v>0.64229999999999998</v>
      </c>
      <c r="K56">
        <f t="shared" si="1"/>
        <v>0</v>
      </c>
      <c r="L56">
        <f t="shared" si="2"/>
        <v>1</v>
      </c>
      <c r="M56">
        <f t="shared" si="3"/>
        <v>0.19226207798589925</v>
      </c>
    </row>
    <row r="57" spans="7:13" x14ac:dyDescent="0.2">
      <c r="G57" s="5" t="s">
        <v>62</v>
      </c>
      <c r="H57" s="6">
        <v>0.75</v>
      </c>
      <c r="I57">
        <f t="shared" si="0"/>
        <v>0.85</v>
      </c>
      <c r="J57" s="6">
        <v>0.38840000000000002</v>
      </c>
      <c r="K57">
        <f t="shared" si="1"/>
        <v>-9.9999999999999978E-2</v>
      </c>
      <c r="L57">
        <f t="shared" si="2"/>
        <v>0</v>
      </c>
      <c r="M57">
        <f t="shared" si="3"/>
        <v>0</v>
      </c>
    </row>
    <row r="58" spans="7:13" x14ac:dyDescent="0.2">
      <c r="G58" s="5" t="s">
        <v>20</v>
      </c>
      <c r="H58" s="6">
        <v>0.65</v>
      </c>
      <c r="I58">
        <f t="shared" si="0"/>
        <v>0.65</v>
      </c>
      <c r="J58" s="6">
        <v>0.54279999999999995</v>
      </c>
      <c r="K58">
        <f t="shared" si="1"/>
        <v>0</v>
      </c>
      <c r="L58">
        <f t="shared" si="2"/>
        <v>1</v>
      </c>
      <c r="M58">
        <f t="shared" si="3"/>
        <v>0.26536016101230059</v>
      </c>
    </row>
    <row r="59" spans="7:13" x14ac:dyDescent="0.2">
      <c r="G59" s="5" t="s">
        <v>74</v>
      </c>
      <c r="H59" s="6">
        <v>0.95</v>
      </c>
      <c r="I59">
        <f t="shared" si="0"/>
        <v>0.95</v>
      </c>
      <c r="J59" s="6">
        <v>0.91390000000000005</v>
      </c>
      <c r="K59">
        <f t="shared" si="1"/>
        <v>0</v>
      </c>
      <c r="L59">
        <f t="shared" si="2"/>
        <v>1</v>
      </c>
      <c r="M59">
        <f t="shared" si="3"/>
        <v>3.9101322673339253E-2</v>
      </c>
    </row>
    <row r="60" spans="7:13" x14ac:dyDescent="0.2">
      <c r="G60" s="5" t="s">
        <v>53</v>
      </c>
      <c r="H60" s="6">
        <v>0.85</v>
      </c>
      <c r="I60">
        <f t="shared" si="0"/>
        <v>0.85</v>
      </c>
      <c r="J60" s="6">
        <v>0.76319999999999999</v>
      </c>
      <c r="K60">
        <f t="shared" si="1"/>
        <v>0</v>
      </c>
      <c r="L60">
        <f t="shared" si="2"/>
        <v>1</v>
      </c>
      <c r="M60">
        <f t="shared" si="3"/>
        <v>0.1173616383039613</v>
      </c>
    </row>
    <row r="61" spans="7:13" x14ac:dyDescent="0.2">
      <c r="G61" s="5" t="s">
        <v>62</v>
      </c>
      <c r="H61" s="6">
        <v>0.85</v>
      </c>
      <c r="I61">
        <f t="shared" si="0"/>
        <v>0.85</v>
      </c>
      <c r="J61" s="6">
        <v>0.47110000000000002</v>
      </c>
      <c r="K61">
        <f t="shared" si="1"/>
        <v>0</v>
      </c>
      <c r="L61">
        <f t="shared" si="2"/>
        <v>1</v>
      </c>
      <c r="M61">
        <f t="shared" si="3"/>
        <v>0.32688689576176633</v>
      </c>
    </row>
    <row r="62" spans="7:13" x14ac:dyDescent="0.2">
      <c r="G62" s="5" t="s">
        <v>41</v>
      </c>
      <c r="H62" s="6">
        <v>0.75</v>
      </c>
      <c r="I62">
        <f t="shared" si="0"/>
        <v>0.75</v>
      </c>
      <c r="J62" s="6">
        <v>0.5464</v>
      </c>
      <c r="K62">
        <f t="shared" si="1"/>
        <v>0</v>
      </c>
      <c r="L62">
        <f t="shared" si="2"/>
        <v>1</v>
      </c>
      <c r="M62">
        <f t="shared" si="3"/>
        <v>0.26248930932652387</v>
      </c>
    </row>
    <row r="63" spans="7:13" x14ac:dyDescent="0.2">
      <c r="G63" s="5" t="s">
        <v>62</v>
      </c>
      <c r="H63" s="6">
        <v>0.85</v>
      </c>
      <c r="I63">
        <f t="shared" si="0"/>
        <v>0.85</v>
      </c>
      <c r="J63" s="6">
        <v>0.85140000000000005</v>
      </c>
      <c r="K63">
        <f t="shared" si="1"/>
        <v>0</v>
      </c>
      <c r="L63">
        <f t="shared" si="2"/>
        <v>1</v>
      </c>
      <c r="M63">
        <f t="shared" si="3"/>
        <v>6.9866354158882343E-2</v>
      </c>
    </row>
    <row r="64" spans="7:13" x14ac:dyDescent="0.2">
      <c r="G64" s="5" t="s">
        <v>74</v>
      </c>
      <c r="H64" s="6">
        <v>0.95</v>
      </c>
      <c r="I64">
        <f t="shared" si="0"/>
        <v>0.95</v>
      </c>
      <c r="J64" s="6">
        <v>0.91420000000000001</v>
      </c>
      <c r="K64">
        <f t="shared" si="1"/>
        <v>0</v>
      </c>
      <c r="L64">
        <f t="shared" si="2"/>
        <v>1</v>
      </c>
      <c r="M64">
        <f t="shared" si="3"/>
        <v>3.8958783046688046E-2</v>
      </c>
    </row>
    <row r="65" spans="7:13" x14ac:dyDescent="0.2">
      <c r="G65" s="5" t="s">
        <v>11</v>
      </c>
      <c r="H65" s="6">
        <v>0.65</v>
      </c>
      <c r="I65">
        <f t="shared" si="0"/>
        <v>0.65</v>
      </c>
      <c r="J65" s="6">
        <v>1</v>
      </c>
      <c r="K65">
        <f t="shared" si="1"/>
        <v>0</v>
      </c>
      <c r="L65">
        <f t="shared" si="2"/>
        <v>1</v>
      </c>
      <c r="M65">
        <f t="shared" si="3"/>
        <v>0</v>
      </c>
    </row>
    <row r="66" spans="7:13" x14ac:dyDescent="0.2">
      <c r="G66" s="5" t="s">
        <v>74</v>
      </c>
      <c r="H66" s="6">
        <v>0.95</v>
      </c>
      <c r="I66">
        <f t="shared" si="0"/>
        <v>0.95</v>
      </c>
      <c r="J66" s="6">
        <v>0.51600000000000001</v>
      </c>
      <c r="K66">
        <f t="shared" si="1"/>
        <v>0</v>
      </c>
      <c r="L66">
        <f t="shared" si="2"/>
        <v>1</v>
      </c>
      <c r="M66">
        <f t="shared" si="3"/>
        <v>0.28735029837278864</v>
      </c>
    </row>
    <row r="67" spans="7:13" x14ac:dyDescent="0.2">
      <c r="G67" s="5" t="s">
        <v>32</v>
      </c>
      <c r="H67" s="6">
        <v>0.75</v>
      </c>
      <c r="I67">
        <f t="shared" ref="I67:I101" si="4">_xlfn.XLOOKUP(G67,$C$2:$C$35,$A$2:$A$35)</f>
        <v>0.75</v>
      </c>
      <c r="J67" s="6">
        <v>0.81910000000000005</v>
      </c>
      <c r="K67">
        <f t="shared" ref="K67:K101" si="5">H67-I67</f>
        <v>0</v>
      </c>
      <c r="L67">
        <f t="shared" ref="L67:L101" si="6">IF(K67=0,1,0)</f>
        <v>1</v>
      </c>
      <c r="M67">
        <f t="shared" ref="M67:M101" si="7">-L67*LOG(J67)</f>
        <v>8.6663074067376777E-2</v>
      </c>
    </row>
    <row r="68" spans="7:13" x14ac:dyDescent="0.2">
      <c r="G68" s="5" t="s">
        <v>62</v>
      </c>
      <c r="H68" s="6">
        <v>0.85</v>
      </c>
      <c r="I68">
        <f t="shared" si="4"/>
        <v>0.85</v>
      </c>
      <c r="J68" s="6">
        <v>0.57120000000000004</v>
      </c>
      <c r="K68">
        <f t="shared" si="5"/>
        <v>0</v>
      </c>
      <c r="L68">
        <f t="shared" si="6"/>
        <v>1</v>
      </c>
      <c r="M68">
        <f t="shared" si="7"/>
        <v>0.24321180123188199</v>
      </c>
    </row>
    <row r="69" spans="7:13" x14ac:dyDescent="0.2">
      <c r="G69" s="5" t="s">
        <v>41</v>
      </c>
      <c r="H69" s="6">
        <v>0.75</v>
      </c>
      <c r="I69">
        <f t="shared" si="4"/>
        <v>0.75</v>
      </c>
      <c r="J69" s="6">
        <v>0.58309999999999995</v>
      </c>
      <c r="K69">
        <f t="shared" si="5"/>
        <v>0</v>
      </c>
      <c r="L69">
        <f t="shared" si="6"/>
        <v>1</v>
      </c>
      <c r="M69">
        <f t="shared" si="7"/>
        <v>0.23425695857895562</v>
      </c>
    </row>
    <row r="70" spans="7:13" x14ac:dyDescent="0.2">
      <c r="G70" s="5" t="s">
        <v>62</v>
      </c>
      <c r="H70" s="6">
        <v>0.85</v>
      </c>
      <c r="I70">
        <f t="shared" si="4"/>
        <v>0.85</v>
      </c>
      <c r="J70" s="6">
        <v>0.46400000000000002</v>
      </c>
      <c r="K70">
        <f t="shared" si="5"/>
        <v>0</v>
      </c>
      <c r="L70">
        <f t="shared" si="6"/>
        <v>1</v>
      </c>
      <c r="M70">
        <f t="shared" si="7"/>
        <v>0.33348201944511913</v>
      </c>
    </row>
    <row r="71" spans="7:13" x14ac:dyDescent="0.2">
      <c r="G71" s="5" t="s">
        <v>74</v>
      </c>
      <c r="H71" s="6">
        <v>0.95</v>
      </c>
      <c r="I71">
        <f t="shared" si="4"/>
        <v>0.95</v>
      </c>
      <c r="J71" s="6">
        <v>0.82450000000000001</v>
      </c>
      <c r="K71">
        <f t="shared" si="5"/>
        <v>0</v>
      </c>
      <c r="L71">
        <f t="shared" si="6"/>
        <v>1</v>
      </c>
      <c r="M71">
        <f t="shared" si="7"/>
        <v>8.3809340019462414E-2</v>
      </c>
    </row>
    <row r="72" spans="7:13" x14ac:dyDescent="0.2">
      <c r="G72" s="5" t="s">
        <v>74</v>
      </c>
      <c r="H72" s="6">
        <v>0.95</v>
      </c>
      <c r="I72">
        <f t="shared" si="4"/>
        <v>0.95</v>
      </c>
      <c r="J72" s="6">
        <v>0.86040000000000005</v>
      </c>
      <c r="K72">
        <f t="shared" si="5"/>
        <v>0</v>
      </c>
      <c r="L72">
        <f t="shared" si="6"/>
        <v>1</v>
      </c>
      <c r="M72">
        <f t="shared" si="7"/>
        <v>6.5299598284575017E-2</v>
      </c>
    </row>
    <row r="73" spans="7:13" x14ac:dyDescent="0.2">
      <c r="G73" s="5" t="s">
        <v>53</v>
      </c>
      <c r="H73" s="6">
        <v>0.85</v>
      </c>
      <c r="I73">
        <f t="shared" si="4"/>
        <v>0.85</v>
      </c>
      <c r="J73" s="6">
        <v>0.48649999999999999</v>
      </c>
      <c r="K73">
        <f t="shared" si="5"/>
        <v>0</v>
      </c>
      <c r="L73">
        <f t="shared" si="6"/>
        <v>1</v>
      </c>
      <c r="M73">
        <f t="shared" si="7"/>
        <v>0.31291715539562931</v>
      </c>
    </row>
    <row r="74" spans="7:13" x14ac:dyDescent="0.2">
      <c r="G74" s="5" t="s">
        <v>53</v>
      </c>
      <c r="H74" s="6">
        <v>0.85</v>
      </c>
      <c r="I74">
        <f t="shared" si="4"/>
        <v>0.85</v>
      </c>
      <c r="J74" s="6">
        <v>0.8115</v>
      </c>
      <c r="K74">
        <f t="shared" si="5"/>
        <v>0</v>
      </c>
      <c r="L74">
        <f t="shared" si="6"/>
        <v>1</v>
      </c>
      <c r="M74">
        <f t="shared" si="7"/>
        <v>9.0711475837749328E-2</v>
      </c>
    </row>
    <row r="75" spans="7:13" x14ac:dyDescent="0.2">
      <c r="G75" s="5" t="s">
        <v>62</v>
      </c>
      <c r="H75" s="6">
        <v>0.85</v>
      </c>
      <c r="I75">
        <f t="shared" si="4"/>
        <v>0.85</v>
      </c>
      <c r="J75" s="6">
        <v>0.62060000000000004</v>
      </c>
      <c r="K75">
        <f t="shared" si="5"/>
        <v>0</v>
      </c>
      <c r="L75">
        <f t="shared" si="6"/>
        <v>1</v>
      </c>
      <c r="M75">
        <f t="shared" si="7"/>
        <v>0.20718822875185305</v>
      </c>
    </row>
    <row r="76" spans="7:13" x14ac:dyDescent="0.2">
      <c r="G76" s="5" t="s">
        <v>11</v>
      </c>
      <c r="H76" s="6">
        <v>0.65</v>
      </c>
      <c r="I76">
        <f t="shared" si="4"/>
        <v>0.65</v>
      </c>
      <c r="J76" s="6">
        <v>0.99</v>
      </c>
      <c r="K76">
        <f t="shared" si="5"/>
        <v>0</v>
      </c>
      <c r="L76">
        <f t="shared" si="6"/>
        <v>1</v>
      </c>
      <c r="M76">
        <f t="shared" si="7"/>
        <v>4.3648054024500883E-3</v>
      </c>
    </row>
    <row r="77" spans="7:13" x14ac:dyDescent="0.2">
      <c r="G77" s="5" t="s">
        <v>41</v>
      </c>
      <c r="H77" s="6">
        <v>0.75</v>
      </c>
      <c r="I77">
        <f t="shared" si="4"/>
        <v>0.75</v>
      </c>
      <c r="J77" s="6">
        <v>0.78510000000000002</v>
      </c>
      <c r="K77">
        <f t="shared" si="5"/>
        <v>0</v>
      </c>
      <c r="L77">
        <f t="shared" si="6"/>
        <v>1</v>
      </c>
      <c r="M77">
        <f t="shared" si="7"/>
        <v>0.10507502264045658</v>
      </c>
    </row>
    <row r="78" spans="7:13" x14ac:dyDescent="0.2">
      <c r="G78" s="5" t="s">
        <v>41</v>
      </c>
      <c r="H78" s="6">
        <v>0.85</v>
      </c>
      <c r="I78">
        <f t="shared" si="4"/>
        <v>0.75</v>
      </c>
      <c r="J78" s="6">
        <v>0.37130000000000002</v>
      </c>
      <c r="K78">
        <f t="shared" si="5"/>
        <v>9.9999999999999978E-2</v>
      </c>
      <c r="L78">
        <f t="shared" si="6"/>
        <v>0</v>
      </c>
      <c r="M78">
        <f t="shared" si="7"/>
        <v>0</v>
      </c>
    </row>
    <row r="79" spans="7:13" x14ac:dyDescent="0.2">
      <c r="G79" s="5" t="s">
        <v>20</v>
      </c>
      <c r="H79" s="6">
        <v>0.65</v>
      </c>
      <c r="I79">
        <f t="shared" si="4"/>
        <v>0.65</v>
      </c>
      <c r="J79" s="6">
        <v>0.90369999999999995</v>
      </c>
      <c r="K79">
        <f t="shared" si="5"/>
        <v>0</v>
      </c>
      <c r="L79">
        <f t="shared" si="6"/>
        <v>1</v>
      </c>
      <c r="M79">
        <f t="shared" si="7"/>
        <v>4.3975717719322883E-2</v>
      </c>
    </row>
    <row r="80" spans="7:13" x14ac:dyDescent="0.2">
      <c r="G80" s="5" t="s">
        <v>32</v>
      </c>
      <c r="H80" s="6">
        <v>0.75</v>
      </c>
      <c r="I80">
        <f t="shared" si="4"/>
        <v>0.75</v>
      </c>
      <c r="J80" s="6">
        <v>0.84550000000000003</v>
      </c>
      <c r="K80">
        <f t="shared" si="5"/>
        <v>0</v>
      </c>
      <c r="L80">
        <f t="shared" si="6"/>
        <v>1</v>
      </c>
      <c r="M80">
        <f t="shared" si="7"/>
        <v>7.2886388066239427E-2</v>
      </c>
    </row>
    <row r="81" spans="7:13" x14ac:dyDescent="0.2">
      <c r="G81" s="5" t="s">
        <v>11</v>
      </c>
      <c r="H81" s="6">
        <v>0.65</v>
      </c>
      <c r="I81">
        <f t="shared" si="4"/>
        <v>0.65</v>
      </c>
      <c r="J81" s="6">
        <v>1</v>
      </c>
      <c r="K81">
        <f t="shared" si="5"/>
        <v>0</v>
      </c>
      <c r="L81">
        <f t="shared" si="6"/>
        <v>1</v>
      </c>
      <c r="M81">
        <f t="shared" si="7"/>
        <v>0</v>
      </c>
    </row>
    <row r="82" spans="7:13" x14ac:dyDescent="0.2">
      <c r="G82" s="5" t="s">
        <v>41</v>
      </c>
      <c r="H82" s="6">
        <v>0.75</v>
      </c>
      <c r="I82">
        <f t="shared" si="4"/>
        <v>0.75</v>
      </c>
      <c r="J82" s="6">
        <v>0.5</v>
      </c>
      <c r="K82">
        <f t="shared" si="5"/>
        <v>0</v>
      </c>
      <c r="L82">
        <f t="shared" si="6"/>
        <v>1</v>
      </c>
      <c r="M82">
        <f t="shared" si="7"/>
        <v>0.3010299956639812</v>
      </c>
    </row>
    <row r="83" spans="7:13" x14ac:dyDescent="0.2">
      <c r="G83" s="5" t="s">
        <v>32</v>
      </c>
      <c r="H83" s="6">
        <v>0.75</v>
      </c>
      <c r="I83">
        <f t="shared" si="4"/>
        <v>0.75</v>
      </c>
      <c r="J83" s="6">
        <v>0.98399999999999999</v>
      </c>
      <c r="K83">
        <f t="shared" si="5"/>
        <v>0</v>
      </c>
      <c r="L83">
        <f t="shared" si="6"/>
        <v>1</v>
      </c>
      <c r="M83">
        <f t="shared" si="7"/>
        <v>7.0049015686584892E-3</v>
      </c>
    </row>
    <row r="84" spans="7:13" x14ac:dyDescent="0.2">
      <c r="G84" s="5" t="s">
        <v>74</v>
      </c>
      <c r="H84" s="6">
        <v>0.95</v>
      </c>
      <c r="I84">
        <f t="shared" si="4"/>
        <v>0.95</v>
      </c>
      <c r="J84" s="6">
        <v>0.95550000000000002</v>
      </c>
      <c r="K84">
        <f t="shared" si="5"/>
        <v>0</v>
      </c>
      <c r="L84">
        <f t="shared" si="6"/>
        <v>1</v>
      </c>
      <c r="M84">
        <f t="shared" si="7"/>
        <v>1.976930860896832E-2</v>
      </c>
    </row>
    <row r="85" spans="7:13" x14ac:dyDescent="0.2">
      <c r="G85" s="5" t="s">
        <v>11</v>
      </c>
      <c r="H85" s="6">
        <v>0.65</v>
      </c>
      <c r="I85">
        <f t="shared" si="4"/>
        <v>0.65</v>
      </c>
      <c r="J85" s="6">
        <v>1</v>
      </c>
      <c r="K85">
        <f t="shared" si="5"/>
        <v>0</v>
      </c>
      <c r="L85">
        <f t="shared" si="6"/>
        <v>1</v>
      </c>
      <c r="M85">
        <f t="shared" si="7"/>
        <v>0</v>
      </c>
    </row>
    <row r="86" spans="7:13" x14ac:dyDescent="0.2">
      <c r="G86" s="5" t="s">
        <v>41</v>
      </c>
      <c r="H86" s="6">
        <v>0.75</v>
      </c>
      <c r="I86">
        <f t="shared" si="4"/>
        <v>0.75</v>
      </c>
      <c r="J86" s="6">
        <v>0.48959999999999998</v>
      </c>
      <c r="K86">
        <f t="shared" si="5"/>
        <v>0</v>
      </c>
      <c r="L86">
        <f t="shared" si="6"/>
        <v>1</v>
      </c>
      <c r="M86">
        <f t="shared" si="7"/>
        <v>0.31015859086249525</v>
      </c>
    </row>
    <row r="87" spans="7:13" x14ac:dyDescent="0.2">
      <c r="G87" s="5" t="s">
        <v>41</v>
      </c>
      <c r="H87" s="6">
        <v>0.75</v>
      </c>
      <c r="I87">
        <f t="shared" si="4"/>
        <v>0.75</v>
      </c>
      <c r="J87" s="6">
        <v>0.63660000000000005</v>
      </c>
      <c r="K87">
        <f t="shared" si="5"/>
        <v>0</v>
      </c>
      <c r="L87">
        <f t="shared" si="6"/>
        <v>1</v>
      </c>
      <c r="M87">
        <f t="shared" si="7"/>
        <v>0.19613336571501566</v>
      </c>
    </row>
    <row r="88" spans="7:13" x14ac:dyDescent="0.2">
      <c r="G88" s="5" t="s">
        <v>11</v>
      </c>
      <c r="H88" s="6">
        <v>0.65</v>
      </c>
      <c r="I88">
        <f t="shared" si="4"/>
        <v>0.65</v>
      </c>
      <c r="J88" s="6">
        <v>1</v>
      </c>
      <c r="K88">
        <f t="shared" si="5"/>
        <v>0</v>
      </c>
      <c r="L88">
        <f t="shared" si="6"/>
        <v>1</v>
      </c>
      <c r="M88">
        <f t="shared" si="7"/>
        <v>0</v>
      </c>
    </row>
    <row r="89" spans="7:13" x14ac:dyDescent="0.2">
      <c r="G89" s="5" t="s">
        <v>41</v>
      </c>
      <c r="H89" s="6">
        <v>0.75</v>
      </c>
      <c r="I89">
        <f t="shared" si="4"/>
        <v>0.75</v>
      </c>
      <c r="J89" s="6">
        <v>0.49359999999999998</v>
      </c>
      <c r="K89">
        <f t="shared" si="5"/>
        <v>0</v>
      </c>
      <c r="L89">
        <f t="shared" si="6"/>
        <v>1</v>
      </c>
      <c r="M89">
        <f t="shared" si="7"/>
        <v>0.30662484897481473</v>
      </c>
    </row>
    <row r="90" spans="7:13" x14ac:dyDescent="0.2">
      <c r="G90" s="5" t="s">
        <v>83</v>
      </c>
      <c r="H90" s="6">
        <v>0.95</v>
      </c>
      <c r="I90">
        <f t="shared" si="4"/>
        <v>0.95</v>
      </c>
      <c r="J90" s="6">
        <v>0.61680000000000001</v>
      </c>
      <c r="K90">
        <f t="shared" si="5"/>
        <v>0</v>
      </c>
      <c r="L90">
        <f t="shared" si="6"/>
        <v>1</v>
      </c>
      <c r="M90">
        <f t="shared" si="7"/>
        <v>0.20985563495709944</v>
      </c>
    </row>
    <row r="91" spans="7:13" x14ac:dyDescent="0.2">
      <c r="G91" s="5" t="s">
        <v>11</v>
      </c>
      <c r="H91" s="6">
        <v>0.65</v>
      </c>
      <c r="I91">
        <f t="shared" si="4"/>
        <v>0.65</v>
      </c>
      <c r="J91" s="6">
        <v>0.99</v>
      </c>
      <c r="K91">
        <f t="shared" si="5"/>
        <v>0</v>
      </c>
      <c r="L91">
        <f t="shared" si="6"/>
        <v>1</v>
      </c>
      <c r="M91">
        <f t="shared" si="7"/>
        <v>4.3648054024500883E-3</v>
      </c>
    </row>
    <row r="92" spans="7:13" x14ac:dyDescent="0.2">
      <c r="G92" s="5" t="s">
        <v>20</v>
      </c>
      <c r="H92" s="6">
        <v>0.65</v>
      </c>
      <c r="I92">
        <f t="shared" si="4"/>
        <v>0.65</v>
      </c>
      <c r="J92" s="6">
        <v>0.85089999999999999</v>
      </c>
      <c r="K92">
        <f t="shared" si="5"/>
        <v>0</v>
      </c>
      <c r="L92">
        <f t="shared" si="6"/>
        <v>1</v>
      </c>
      <c r="M92">
        <f t="shared" si="7"/>
        <v>7.0121476343216707E-2</v>
      </c>
    </row>
    <row r="93" spans="7:13" x14ac:dyDescent="0.2">
      <c r="G93" s="5" t="s">
        <v>53</v>
      </c>
      <c r="H93" s="6">
        <v>0.85</v>
      </c>
      <c r="I93">
        <f t="shared" si="4"/>
        <v>0.85</v>
      </c>
      <c r="J93" s="6">
        <v>0.7873</v>
      </c>
      <c r="K93">
        <f t="shared" si="5"/>
        <v>0</v>
      </c>
      <c r="L93">
        <f t="shared" si="6"/>
        <v>1</v>
      </c>
      <c r="M93">
        <f t="shared" si="7"/>
        <v>0.10385974855798041</v>
      </c>
    </row>
    <row r="94" spans="7:13" x14ac:dyDescent="0.2">
      <c r="G94" s="5" t="s">
        <v>20</v>
      </c>
      <c r="H94" s="6">
        <v>0.65</v>
      </c>
      <c r="I94">
        <f t="shared" si="4"/>
        <v>0.65</v>
      </c>
      <c r="J94" s="6">
        <v>0.80730000000000002</v>
      </c>
      <c r="K94">
        <f t="shared" si="5"/>
        <v>0</v>
      </c>
      <c r="L94">
        <f t="shared" si="6"/>
        <v>1</v>
      </c>
      <c r="M94">
        <f t="shared" si="7"/>
        <v>9.2965047516583035E-2</v>
      </c>
    </row>
    <row r="95" spans="7:13" x14ac:dyDescent="0.2">
      <c r="G95" s="5" t="s">
        <v>53</v>
      </c>
      <c r="H95" s="6">
        <v>0.85</v>
      </c>
      <c r="I95">
        <f t="shared" si="4"/>
        <v>0.85</v>
      </c>
      <c r="J95" s="6">
        <v>0.61519999999999997</v>
      </c>
      <c r="K95">
        <f t="shared" si="5"/>
        <v>0</v>
      </c>
      <c r="L95">
        <f t="shared" si="6"/>
        <v>1</v>
      </c>
      <c r="M95">
        <f t="shared" si="7"/>
        <v>0.21098367320662539</v>
      </c>
    </row>
    <row r="96" spans="7:13" x14ac:dyDescent="0.2">
      <c r="G96" s="5" t="s">
        <v>11</v>
      </c>
      <c r="H96" s="6">
        <v>0.65</v>
      </c>
      <c r="I96">
        <f t="shared" si="4"/>
        <v>0.65</v>
      </c>
      <c r="J96" s="6">
        <v>1</v>
      </c>
      <c r="K96">
        <f t="shared" si="5"/>
        <v>0</v>
      </c>
      <c r="L96">
        <f t="shared" si="6"/>
        <v>1</v>
      </c>
      <c r="M96">
        <f t="shared" si="7"/>
        <v>0</v>
      </c>
    </row>
    <row r="97" spans="7:13" x14ac:dyDescent="0.2">
      <c r="G97" s="5" t="s">
        <v>11</v>
      </c>
      <c r="H97" s="6">
        <v>0.65</v>
      </c>
      <c r="I97">
        <f t="shared" si="4"/>
        <v>0.65</v>
      </c>
      <c r="J97" s="6">
        <v>1</v>
      </c>
      <c r="K97">
        <f t="shared" si="5"/>
        <v>0</v>
      </c>
      <c r="L97">
        <f t="shared" si="6"/>
        <v>1</v>
      </c>
      <c r="M97">
        <f t="shared" si="7"/>
        <v>0</v>
      </c>
    </row>
    <row r="98" spans="7:13" x14ac:dyDescent="0.2">
      <c r="G98" s="5" t="s">
        <v>62</v>
      </c>
      <c r="H98" s="6">
        <v>0.85</v>
      </c>
      <c r="I98">
        <f t="shared" si="4"/>
        <v>0.85</v>
      </c>
      <c r="J98" s="6">
        <v>0.62480000000000002</v>
      </c>
      <c r="K98">
        <f t="shared" si="5"/>
        <v>0</v>
      </c>
      <c r="L98">
        <f t="shared" si="6"/>
        <v>1</v>
      </c>
      <c r="M98">
        <f t="shared" si="7"/>
        <v>0.20425897913075608</v>
      </c>
    </row>
    <row r="99" spans="7:13" x14ac:dyDescent="0.2">
      <c r="G99" s="5" t="s">
        <v>83</v>
      </c>
      <c r="H99" s="6">
        <v>0.95</v>
      </c>
      <c r="I99">
        <f t="shared" si="4"/>
        <v>0.95</v>
      </c>
      <c r="J99" s="6">
        <v>0.6462</v>
      </c>
      <c r="K99">
        <f t="shared" si="5"/>
        <v>0</v>
      </c>
      <c r="L99">
        <f t="shared" si="6"/>
        <v>1</v>
      </c>
      <c r="M99">
        <f t="shared" si="7"/>
        <v>0.1896330463183748</v>
      </c>
    </row>
    <row r="100" spans="7:13" x14ac:dyDescent="0.2">
      <c r="G100" s="5" t="s">
        <v>11</v>
      </c>
      <c r="H100" s="6">
        <v>0.65</v>
      </c>
      <c r="I100">
        <f t="shared" si="4"/>
        <v>0.65</v>
      </c>
      <c r="J100" s="6">
        <v>0.98399999999999999</v>
      </c>
      <c r="K100">
        <f t="shared" si="5"/>
        <v>0</v>
      </c>
      <c r="L100">
        <f t="shared" si="6"/>
        <v>1</v>
      </c>
      <c r="M100">
        <f t="shared" si="7"/>
        <v>7.0049015686584892E-3</v>
      </c>
    </row>
    <row r="101" spans="7:13" x14ac:dyDescent="0.2">
      <c r="G101" s="5" t="s">
        <v>62</v>
      </c>
      <c r="H101" s="6">
        <v>0.95</v>
      </c>
      <c r="I101">
        <f t="shared" si="4"/>
        <v>0.85</v>
      </c>
      <c r="J101" s="6">
        <v>0.56999999999999995</v>
      </c>
      <c r="K101">
        <f t="shared" si="5"/>
        <v>9.9999999999999978E-2</v>
      </c>
      <c r="L101">
        <f t="shared" si="6"/>
        <v>0</v>
      </c>
      <c r="M101">
        <f t="shared" si="7"/>
        <v>0</v>
      </c>
    </row>
  </sheetData>
  <conditionalFormatting sqref="M2:M101">
    <cfRule type="cellIs" dxfId="1" priority="1" operator="greaterThan">
      <formula>0.3</formula>
    </cfRule>
    <cfRule type="cellIs" dxfId="0" priority="2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JALON 1</vt:lpstr>
      <vt:lpstr>Tout vapeur d'eau</vt:lpstr>
      <vt:lpstr>Vapeur 10%</vt:lpstr>
      <vt:lpstr>Vapeur 10 20</vt:lpstr>
      <vt:lpstr>10 20 KERNEL</vt:lpstr>
      <vt:lpstr>10 20 Max pooling</vt:lpstr>
      <vt:lpstr>10 20 RF</vt:lpstr>
      <vt:lpstr>10 20 RF (2)</vt:lpstr>
      <vt:lpstr>10 20 SVC</vt:lpstr>
      <vt:lpstr>10 20 NN</vt:lpstr>
      <vt:lpstr>10 20 RF Calcul 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TRAVERS Clemence</dc:creator>
  <cp:lastModifiedBy>TRAVERS Clemence</cp:lastModifiedBy>
  <dcterms:created xsi:type="dcterms:W3CDTF">2026-01-20T09:44:03Z</dcterms:created>
  <dcterms:modified xsi:type="dcterms:W3CDTF">2026-04-02T13:53:50Z</dcterms:modified>
</cp:coreProperties>
</file>